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mmanuelIgbokwe\Desktop\TRACKER\"/>
    </mc:Choice>
  </mc:AlternateContent>
  <xr:revisionPtr revIDLastSave="0" documentId="13_ncr:1_{A69A323B-5F38-4818-8717-16B38F6087D1}" xr6:coauthVersionLast="47" xr6:coauthVersionMax="47" xr10:uidLastSave="{00000000-0000-0000-0000-000000000000}"/>
  <bookViews>
    <workbookView xWindow="28680" yWindow="-120" windowWidth="29040" windowHeight="15720" xr2:uid="{87D14355-7FAD-44FC-8322-916DFD69ED02}"/>
  </bookViews>
  <sheets>
    <sheet name="FY26 Student enrollment" sheetId="15" r:id="rId1"/>
    <sheet name="New Enrollment metrics FY25-26" sheetId="16" state="hidden" r:id="rId2"/>
    <sheet name="Total Margin" sheetId="17" state="hidden" r:id="rId3"/>
  </sheets>
  <definedNames>
    <definedName name="_xlnm._FilterDatabase" localSheetId="0" hidden="1">'FY26 Student enrollment'!$A$1:$K$323</definedName>
    <definedName name="_xlnm._FilterDatabase" localSheetId="2" hidden="1">'Total Margin'!$A$1:$F$62</definedName>
    <definedName name="_xlnm.Print_Area" localSheetId="0">'FY26 Student enrollment'!$A$1:$B$65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6" l="1"/>
  <c r="H6" i="16"/>
  <c r="H8" i="16"/>
  <c r="H10" i="16"/>
  <c r="H12" i="16"/>
  <c r="H14" i="16"/>
  <c r="H16" i="16"/>
  <c r="H18" i="16"/>
  <c r="H20" i="16"/>
  <c r="H22" i="16"/>
  <c r="H24" i="16"/>
  <c r="H26" i="16"/>
  <c r="H28" i="16"/>
  <c r="H29" i="16"/>
  <c r="H31" i="16"/>
  <c r="H2" i="16"/>
  <c r="F49" i="17"/>
  <c r="E49" i="17"/>
  <c r="E41" i="17"/>
  <c r="E63" i="17"/>
  <c r="E64" i="17"/>
  <c r="E65" i="17"/>
  <c r="E66" i="17"/>
  <c r="F66" i="17" l="1"/>
  <c r="F65" i="17"/>
  <c r="E37" i="17"/>
  <c r="E29" i="17"/>
  <c r="E25" i="17"/>
  <c r="E21" i="17"/>
  <c r="E17" i="17"/>
  <c r="E9" i="17"/>
  <c r="E62" i="17"/>
  <c r="E61" i="17"/>
  <c r="E60" i="17"/>
  <c r="F62" i="17" s="1"/>
  <c r="E59" i="17"/>
  <c r="E58" i="17"/>
  <c r="E57" i="17"/>
  <c r="E56" i="17"/>
  <c r="E55" i="17"/>
  <c r="E54" i="17"/>
  <c r="E53" i="17"/>
  <c r="E52" i="17"/>
  <c r="E51" i="17"/>
  <c r="E50" i="17"/>
  <c r="E48" i="17"/>
  <c r="E47" i="17"/>
  <c r="E46" i="17"/>
  <c r="E45" i="17"/>
  <c r="E44" i="17"/>
  <c r="E43" i="17"/>
  <c r="E42" i="17"/>
  <c r="E40" i="17"/>
  <c r="E39" i="17"/>
  <c r="E38" i="17"/>
  <c r="E36" i="17"/>
  <c r="E35" i="17"/>
  <c r="E34" i="17"/>
  <c r="E33" i="17"/>
  <c r="E32" i="17"/>
  <c r="E31" i="17"/>
  <c r="E30" i="17"/>
  <c r="E28" i="17"/>
  <c r="E27" i="17"/>
  <c r="E26" i="17"/>
  <c r="E24" i="17"/>
  <c r="E23" i="17"/>
  <c r="E22" i="17"/>
  <c r="E20" i="17"/>
  <c r="E19" i="17"/>
  <c r="E18" i="17"/>
  <c r="E16" i="17"/>
  <c r="E15" i="17"/>
  <c r="E14" i="17"/>
  <c r="E13" i="17"/>
  <c r="E12" i="17"/>
  <c r="E11" i="17"/>
  <c r="E10" i="17"/>
  <c r="E8" i="17"/>
  <c r="E7" i="17"/>
  <c r="E6" i="17"/>
  <c r="E5" i="17"/>
  <c r="E4" i="17"/>
  <c r="E3" i="17"/>
  <c r="E2" i="17"/>
  <c r="G31" i="16"/>
  <c r="G29" i="16"/>
  <c r="G26" i="16"/>
  <c r="G24" i="16"/>
  <c r="G22" i="16"/>
  <c r="G20" i="16"/>
  <c r="G18" i="16"/>
  <c r="G16" i="16"/>
  <c r="G14" i="16"/>
  <c r="G12" i="16"/>
  <c r="G10" i="16"/>
  <c r="G8" i="16"/>
  <c r="G6" i="16"/>
  <c r="G4" i="16"/>
  <c r="G2" i="16"/>
  <c r="J323" i="15"/>
  <c r="J322" i="15"/>
  <c r="F323" i="15"/>
  <c r="G325" i="15" s="1"/>
  <c r="F322" i="15"/>
  <c r="J2" i="15"/>
  <c r="F58" i="15"/>
  <c r="J24" i="15"/>
  <c r="F24" i="15"/>
  <c r="I24" i="15" s="1"/>
  <c r="J64" i="15"/>
  <c r="F64" i="15"/>
  <c r="I64" i="15" s="1"/>
  <c r="J15" i="15"/>
  <c r="F15" i="15"/>
  <c r="I15" i="15" s="1"/>
  <c r="J43" i="15"/>
  <c r="F43" i="15"/>
  <c r="I43" i="15" s="1"/>
  <c r="J106" i="15"/>
  <c r="J42" i="15"/>
  <c r="F42" i="15"/>
  <c r="H42" i="15" s="1"/>
  <c r="J14" i="15"/>
  <c r="F14" i="15"/>
  <c r="I14" i="15" s="1"/>
  <c r="J39" i="15"/>
  <c r="F39" i="15"/>
  <c r="G39" i="15" s="1"/>
  <c r="J38" i="15"/>
  <c r="F38" i="15"/>
  <c r="I38" i="15" s="1"/>
  <c r="J8" i="15"/>
  <c r="F8" i="15"/>
  <c r="I8" i="15" s="1"/>
  <c r="J52" i="15"/>
  <c r="F52" i="15"/>
  <c r="I52" i="15" s="1"/>
  <c r="J41" i="15"/>
  <c r="F41" i="15"/>
  <c r="I41" i="15" s="1"/>
  <c r="J62" i="15"/>
  <c r="F62" i="15"/>
  <c r="I62" i="15" s="1"/>
  <c r="J40" i="15"/>
  <c r="F40" i="15"/>
  <c r="I40" i="15" s="1"/>
  <c r="J37" i="15"/>
  <c r="F37" i="15"/>
  <c r="I37" i="15" s="1"/>
  <c r="J7" i="15"/>
  <c r="F7" i="15"/>
  <c r="G7" i="15" s="1"/>
  <c r="F21" i="15"/>
  <c r="G21" i="15" s="1"/>
  <c r="J21" i="15"/>
  <c r="F22" i="15"/>
  <c r="G22" i="15" s="1"/>
  <c r="J22" i="15"/>
  <c r="F23" i="15"/>
  <c r="H23" i="15" s="1"/>
  <c r="J23" i="15"/>
  <c r="J20" i="15"/>
  <c r="F20" i="15"/>
  <c r="H20" i="15" s="1"/>
  <c r="F3" i="15"/>
  <c r="G3" i="15" s="1"/>
  <c r="J3" i="15"/>
  <c r="F2" i="15"/>
  <c r="G2" i="15" s="1"/>
  <c r="J19" i="15"/>
  <c r="F19" i="15"/>
  <c r="H19" i="15" s="1"/>
  <c r="J65" i="15"/>
  <c r="F65" i="15"/>
  <c r="I65" i="15" s="1"/>
  <c r="J60" i="15"/>
  <c r="F60" i="15"/>
  <c r="H60" i="15" s="1"/>
  <c r="J33" i="15"/>
  <c r="F33" i="15"/>
  <c r="I33" i="15" s="1"/>
  <c r="J10" i="15"/>
  <c r="F10" i="15"/>
  <c r="H10" i="15" s="1"/>
  <c r="F9" i="15"/>
  <c r="G9" i="15" s="1"/>
  <c r="J9" i="15"/>
  <c r="F36" i="15"/>
  <c r="H36" i="15" s="1"/>
  <c r="J36" i="15"/>
  <c r="F35" i="15"/>
  <c r="I35" i="15" s="1"/>
  <c r="J35" i="15"/>
  <c r="J34" i="15"/>
  <c r="F34" i="15"/>
  <c r="I34" i="15" s="1"/>
  <c r="F30" i="15"/>
  <c r="G30" i="15" s="1"/>
  <c r="J30" i="15"/>
  <c r="J32" i="15"/>
  <c r="F32" i="15"/>
  <c r="G32" i="15" s="1"/>
  <c r="J29" i="15"/>
  <c r="F29" i="15"/>
  <c r="I29" i="15" s="1"/>
  <c r="J31" i="15"/>
  <c r="F31" i="15"/>
  <c r="I31" i="15" s="1"/>
  <c r="J46" i="15"/>
  <c r="F46" i="15"/>
  <c r="I46" i="15" s="1"/>
  <c r="J50" i="15"/>
  <c r="F50" i="15"/>
  <c r="I50" i="15" s="1"/>
  <c r="J44" i="15"/>
  <c r="F44" i="15"/>
  <c r="H44" i="15" s="1"/>
  <c r="F51" i="15"/>
  <c r="H51" i="15" s="1"/>
  <c r="F49" i="15"/>
  <c r="H49" i="15" s="1"/>
  <c r="F48" i="15"/>
  <c r="H48" i="15" s="1"/>
  <c r="F47" i="15"/>
  <c r="H47" i="15" s="1"/>
  <c r="J51" i="15"/>
  <c r="J49" i="15"/>
  <c r="J48" i="15"/>
  <c r="J47" i="15"/>
  <c r="J45" i="15"/>
  <c r="F45" i="15"/>
  <c r="G45" i="15" s="1"/>
  <c r="J61" i="15"/>
  <c r="F61" i="15"/>
  <c r="G61" i="15" s="1"/>
  <c r="J5" i="15"/>
  <c r="F5" i="15"/>
  <c r="I5" i="15" s="1"/>
  <c r="J4" i="15"/>
  <c r="F4" i="15"/>
  <c r="I4" i="15" s="1"/>
  <c r="J13" i="15"/>
  <c r="F13" i="15"/>
  <c r="I13" i="15" s="1"/>
  <c r="J12" i="15"/>
  <c r="F12" i="15"/>
  <c r="I12" i="15" s="1"/>
  <c r="J11" i="15"/>
  <c r="F11" i="15"/>
  <c r="I11" i="15" s="1"/>
  <c r="J63" i="15"/>
  <c r="F63" i="15"/>
  <c r="I63" i="15" s="1"/>
  <c r="J57" i="15"/>
  <c r="J58" i="15"/>
  <c r="J59" i="15"/>
  <c r="J56" i="15"/>
  <c r="F59" i="15"/>
  <c r="I59" i="15" s="1"/>
  <c r="F57" i="15"/>
  <c r="G57" i="15" s="1"/>
  <c r="G58" i="15"/>
  <c r="F56" i="15"/>
  <c r="I56" i="15" s="1"/>
  <c r="F54" i="15"/>
  <c r="J54" i="15" s="1"/>
  <c r="J28" i="15"/>
  <c r="F28" i="15"/>
  <c r="I28" i="15" s="1"/>
  <c r="J16" i="15"/>
  <c r="F16" i="15"/>
  <c r="I16" i="15" s="1"/>
  <c r="J18" i="15"/>
  <c r="F18" i="15"/>
  <c r="I18" i="15" s="1"/>
  <c r="J17" i="15"/>
  <c r="F17" i="15"/>
  <c r="I17" i="15" s="1"/>
  <c r="J26" i="15"/>
  <c r="J27" i="15"/>
  <c r="J25" i="15"/>
  <c r="F26" i="15"/>
  <c r="G26" i="15" s="1"/>
  <c r="F27" i="15"/>
  <c r="G27" i="15" s="1"/>
  <c r="F25" i="15"/>
  <c r="H25" i="15" s="1"/>
  <c r="J6" i="15"/>
  <c r="F6" i="15"/>
  <c r="I6" i="15" s="1"/>
  <c r="J53" i="15"/>
  <c r="F53" i="15"/>
  <c r="H53" i="15" s="1"/>
  <c r="J55" i="15"/>
  <c r="F55" i="15"/>
  <c r="H55" i="15" s="1"/>
  <c r="F263" i="15"/>
  <c r="G263" i="15"/>
  <c r="H263" i="15" s="1"/>
  <c r="J263" i="15"/>
  <c r="F264" i="15"/>
  <c r="G264" i="15"/>
  <c r="H264" i="15" s="1"/>
  <c r="J264" i="15"/>
  <c r="F265" i="15"/>
  <c r="G265" i="15"/>
  <c r="H265" i="15" s="1"/>
  <c r="J265" i="15"/>
  <c r="F266" i="15"/>
  <c r="G266" i="15"/>
  <c r="H266" i="15" s="1"/>
  <c r="J266" i="15"/>
  <c r="F267" i="15"/>
  <c r="G267" i="15"/>
  <c r="H267" i="15" s="1"/>
  <c r="J267" i="15"/>
  <c r="F268" i="15"/>
  <c r="G268" i="15"/>
  <c r="H268" i="15" s="1"/>
  <c r="J268" i="15"/>
  <c r="F269" i="15"/>
  <c r="G269" i="15"/>
  <c r="H269" i="15" s="1"/>
  <c r="J269" i="15"/>
  <c r="F270" i="15"/>
  <c r="G270" i="15"/>
  <c r="H270" i="15" s="1"/>
  <c r="J270" i="15"/>
  <c r="F271" i="15"/>
  <c r="G271" i="15"/>
  <c r="H271" i="15" s="1"/>
  <c r="J271" i="15"/>
  <c r="F272" i="15"/>
  <c r="G272" i="15"/>
  <c r="H272" i="15" s="1"/>
  <c r="J272" i="15"/>
  <c r="F273" i="15"/>
  <c r="G273" i="15"/>
  <c r="H273" i="15" s="1"/>
  <c r="J273" i="15"/>
  <c r="F274" i="15"/>
  <c r="G274" i="15"/>
  <c r="H274" i="15" s="1"/>
  <c r="J274" i="15"/>
  <c r="F275" i="15"/>
  <c r="G275" i="15"/>
  <c r="H275" i="15" s="1"/>
  <c r="J275" i="15"/>
  <c r="F276" i="15"/>
  <c r="G276" i="15"/>
  <c r="H276" i="15" s="1"/>
  <c r="J276" i="15"/>
  <c r="F277" i="15"/>
  <c r="G277" i="15"/>
  <c r="H277" i="15" s="1"/>
  <c r="J277" i="15"/>
  <c r="F278" i="15"/>
  <c r="G278" i="15"/>
  <c r="H278" i="15" s="1"/>
  <c r="J278" i="15"/>
  <c r="F279" i="15"/>
  <c r="G279" i="15"/>
  <c r="H279" i="15" s="1"/>
  <c r="J279" i="15"/>
  <c r="F280" i="15"/>
  <c r="G280" i="15"/>
  <c r="H280" i="15" s="1"/>
  <c r="J280" i="15"/>
  <c r="F281" i="15"/>
  <c r="G281" i="15"/>
  <c r="H281" i="15" s="1"/>
  <c r="J281" i="15"/>
  <c r="F282" i="15"/>
  <c r="G282" i="15"/>
  <c r="H282" i="15" s="1"/>
  <c r="J282" i="15"/>
  <c r="F283" i="15"/>
  <c r="G283" i="15"/>
  <c r="H283" i="15" s="1"/>
  <c r="J283" i="15"/>
  <c r="F284" i="15"/>
  <c r="G284" i="15"/>
  <c r="H284" i="15" s="1"/>
  <c r="J284" i="15"/>
  <c r="F285" i="15"/>
  <c r="G285" i="15"/>
  <c r="H285" i="15" s="1"/>
  <c r="J285" i="15"/>
  <c r="F286" i="15"/>
  <c r="G286" i="15"/>
  <c r="H286" i="15" s="1"/>
  <c r="J286" i="15"/>
  <c r="F287" i="15"/>
  <c r="G287" i="15"/>
  <c r="H287" i="15" s="1"/>
  <c r="J287" i="15"/>
  <c r="F288" i="15"/>
  <c r="G288" i="15"/>
  <c r="H288" i="15" s="1"/>
  <c r="J288" i="15"/>
  <c r="F289" i="15"/>
  <c r="G289" i="15"/>
  <c r="H289" i="15" s="1"/>
  <c r="J289" i="15"/>
  <c r="F290" i="15"/>
  <c r="G290" i="15"/>
  <c r="H290" i="15" s="1"/>
  <c r="J290" i="15"/>
  <c r="F291" i="15"/>
  <c r="G291" i="15"/>
  <c r="H291" i="15" s="1"/>
  <c r="J291" i="15"/>
  <c r="F292" i="15"/>
  <c r="G292" i="15"/>
  <c r="H292" i="15" s="1"/>
  <c r="J292" i="15"/>
  <c r="F293" i="15"/>
  <c r="G293" i="15"/>
  <c r="H293" i="15" s="1"/>
  <c r="J293" i="15"/>
  <c r="F294" i="15"/>
  <c r="G294" i="15"/>
  <c r="H294" i="15" s="1"/>
  <c r="J294" i="15"/>
  <c r="F295" i="15"/>
  <c r="G295" i="15"/>
  <c r="H295" i="15" s="1"/>
  <c r="J295" i="15"/>
  <c r="F296" i="15"/>
  <c r="G296" i="15"/>
  <c r="H296" i="15" s="1"/>
  <c r="J296" i="15"/>
  <c r="F297" i="15"/>
  <c r="G297" i="15"/>
  <c r="H297" i="15" s="1"/>
  <c r="J297" i="15"/>
  <c r="F298" i="15"/>
  <c r="G298" i="15"/>
  <c r="H298" i="15" s="1"/>
  <c r="J298" i="15"/>
  <c r="F299" i="15"/>
  <c r="G299" i="15"/>
  <c r="H299" i="15" s="1"/>
  <c r="J299" i="15"/>
  <c r="F300" i="15"/>
  <c r="G300" i="15"/>
  <c r="H300" i="15" s="1"/>
  <c r="J300" i="15"/>
  <c r="F301" i="15"/>
  <c r="G301" i="15"/>
  <c r="H301" i="15" s="1"/>
  <c r="J301" i="15"/>
  <c r="F302" i="15"/>
  <c r="G302" i="15"/>
  <c r="H302" i="15" s="1"/>
  <c r="J302" i="15"/>
  <c r="F303" i="15"/>
  <c r="G303" i="15"/>
  <c r="H303" i="15" s="1"/>
  <c r="J303" i="15"/>
  <c r="F304" i="15"/>
  <c r="G304" i="15"/>
  <c r="H304" i="15" s="1"/>
  <c r="J304" i="15"/>
  <c r="F305" i="15"/>
  <c r="G305" i="15"/>
  <c r="H305" i="15" s="1"/>
  <c r="J305" i="15"/>
  <c r="F306" i="15"/>
  <c r="G306" i="15"/>
  <c r="H306" i="15" s="1"/>
  <c r="J306" i="15"/>
  <c r="F307" i="15"/>
  <c r="G307" i="15"/>
  <c r="H307" i="15" s="1"/>
  <c r="J307" i="15"/>
  <c r="F308" i="15"/>
  <c r="G308" i="15"/>
  <c r="H308" i="15" s="1"/>
  <c r="J308" i="15"/>
  <c r="F309" i="15"/>
  <c r="G309" i="15"/>
  <c r="H309" i="15" s="1"/>
  <c r="J309" i="15"/>
  <c r="F310" i="15"/>
  <c r="G310" i="15"/>
  <c r="H310" i="15" s="1"/>
  <c r="J310" i="15"/>
  <c r="F311" i="15"/>
  <c r="G311" i="15"/>
  <c r="H311" i="15" s="1"/>
  <c r="J311" i="15"/>
  <c r="F312" i="15"/>
  <c r="G312" i="15"/>
  <c r="H312" i="15" s="1"/>
  <c r="J312" i="15"/>
  <c r="F313" i="15"/>
  <c r="G313" i="15"/>
  <c r="H313" i="15" s="1"/>
  <c r="J313" i="15"/>
  <c r="F314" i="15"/>
  <c r="G314" i="15"/>
  <c r="H314" i="15" s="1"/>
  <c r="J314" i="15"/>
  <c r="F315" i="15"/>
  <c r="G315" i="15"/>
  <c r="H315" i="15" s="1"/>
  <c r="J315" i="15"/>
  <c r="F316" i="15"/>
  <c r="G316" i="15"/>
  <c r="H316" i="15" s="1"/>
  <c r="J316" i="15"/>
  <c r="F317" i="15"/>
  <c r="G317" i="15"/>
  <c r="H317" i="15" s="1"/>
  <c r="J317" i="15"/>
  <c r="F318" i="15"/>
  <c r="G318" i="15"/>
  <c r="H318" i="15" s="1"/>
  <c r="J318" i="15"/>
  <c r="F319" i="15"/>
  <c r="G319" i="15"/>
  <c r="H319" i="15" s="1"/>
  <c r="J319" i="15"/>
  <c r="F320" i="15"/>
  <c r="G320" i="15"/>
  <c r="H320" i="15" s="1"/>
  <c r="J320" i="15"/>
  <c r="F321" i="15"/>
  <c r="G321" i="15"/>
  <c r="H321" i="15" s="1"/>
  <c r="J321" i="15"/>
  <c r="F259" i="15"/>
  <c r="G259" i="15"/>
  <c r="H259" i="15" s="1"/>
  <c r="J259" i="15"/>
  <c r="F260" i="15"/>
  <c r="G260" i="15"/>
  <c r="H260" i="15" s="1"/>
  <c r="J260" i="15"/>
  <c r="F261" i="15"/>
  <c r="G261" i="15"/>
  <c r="H261" i="15" s="1"/>
  <c r="J261" i="15"/>
  <c r="F262" i="15"/>
  <c r="G262" i="15"/>
  <c r="H262" i="15" s="1"/>
  <c r="J262" i="15"/>
  <c r="F258" i="15"/>
  <c r="G258" i="15"/>
  <c r="H258" i="15" s="1"/>
  <c r="J258" i="15"/>
  <c r="F257" i="15"/>
  <c r="G257" i="15"/>
  <c r="H257" i="15" s="1"/>
  <c r="G209" i="15"/>
  <c r="H209" i="15" s="1"/>
  <c r="G210" i="15"/>
  <c r="H210" i="15" s="1"/>
  <c r="G211" i="15"/>
  <c r="H211" i="15" s="1"/>
  <c r="G212" i="15"/>
  <c r="H212" i="15" s="1"/>
  <c r="G213" i="15"/>
  <c r="H213" i="15" s="1"/>
  <c r="G214" i="15"/>
  <c r="H214" i="15" s="1"/>
  <c r="G215" i="15"/>
  <c r="H215" i="15" s="1"/>
  <c r="G216" i="15"/>
  <c r="H216" i="15" s="1"/>
  <c r="G217" i="15"/>
  <c r="H217" i="15" s="1"/>
  <c r="G218" i="15"/>
  <c r="H218" i="15" s="1"/>
  <c r="F219" i="15"/>
  <c r="G219" i="15"/>
  <c r="H219" i="15" s="1"/>
  <c r="F220" i="15"/>
  <c r="G220" i="15"/>
  <c r="H220" i="15" s="1"/>
  <c r="F221" i="15"/>
  <c r="G221" i="15"/>
  <c r="H221" i="15" s="1"/>
  <c r="F222" i="15"/>
  <c r="G222" i="15"/>
  <c r="H222" i="15" s="1"/>
  <c r="F223" i="15"/>
  <c r="G223" i="15"/>
  <c r="H223" i="15" s="1"/>
  <c r="F224" i="15"/>
  <c r="G224" i="15"/>
  <c r="H224" i="15" s="1"/>
  <c r="F225" i="15"/>
  <c r="G225" i="15"/>
  <c r="H225" i="15" s="1"/>
  <c r="F226" i="15"/>
  <c r="G226" i="15"/>
  <c r="H226" i="15" s="1"/>
  <c r="F227" i="15"/>
  <c r="G227" i="15"/>
  <c r="H227" i="15" s="1"/>
  <c r="F228" i="15"/>
  <c r="G228" i="15"/>
  <c r="H228" i="15" s="1"/>
  <c r="F229" i="15"/>
  <c r="G229" i="15"/>
  <c r="H229" i="15" s="1"/>
  <c r="F230" i="15"/>
  <c r="G230" i="15"/>
  <c r="H230" i="15" s="1"/>
  <c r="F231" i="15"/>
  <c r="G231" i="15"/>
  <c r="H231" i="15" s="1"/>
  <c r="F232" i="15"/>
  <c r="G232" i="15"/>
  <c r="H232" i="15" s="1"/>
  <c r="F233" i="15"/>
  <c r="G233" i="15"/>
  <c r="H233" i="15" s="1"/>
  <c r="F234" i="15"/>
  <c r="G234" i="15"/>
  <c r="H234" i="15" s="1"/>
  <c r="F235" i="15"/>
  <c r="G235" i="15"/>
  <c r="H235" i="15" s="1"/>
  <c r="F236" i="15"/>
  <c r="G236" i="15"/>
  <c r="H236" i="15" s="1"/>
  <c r="F237" i="15"/>
  <c r="G237" i="15"/>
  <c r="H237" i="15" s="1"/>
  <c r="F238" i="15"/>
  <c r="G238" i="15"/>
  <c r="H238" i="15" s="1"/>
  <c r="F239" i="15"/>
  <c r="G239" i="15"/>
  <c r="H239" i="15" s="1"/>
  <c r="F240" i="15"/>
  <c r="G240" i="15"/>
  <c r="H240" i="15" s="1"/>
  <c r="F241" i="15"/>
  <c r="G241" i="15"/>
  <c r="H241" i="15" s="1"/>
  <c r="F242" i="15"/>
  <c r="G242" i="15"/>
  <c r="H242" i="15" s="1"/>
  <c r="F243" i="15"/>
  <c r="G243" i="15"/>
  <c r="H243" i="15" s="1"/>
  <c r="F244" i="15"/>
  <c r="G244" i="15"/>
  <c r="H244" i="15" s="1"/>
  <c r="F245" i="15"/>
  <c r="G245" i="15"/>
  <c r="H245" i="15" s="1"/>
  <c r="F246" i="15"/>
  <c r="G246" i="15"/>
  <c r="H246" i="15" s="1"/>
  <c r="F247" i="15"/>
  <c r="G247" i="15"/>
  <c r="H247" i="15" s="1"/>
  <c r="F248" i="15"/>
  <c r="G248" i="15"/>
  <c r="H248" i="15" s="1"/>
  <c r="F249" i="15"/>
  <c r="G249" i="15"/>
  <c r="H249" i="15" s="1"/>
  <c r="F250" i="15"/>
  <c r="G250" i="15"/>
  <c r="H250" i="15" s="1"/>
  <c r="F251" i="15"/>
  <c r="G251" i="15"/>
  <c r="H251" i="15" s="1"/>
  <c r="F252" i="15"/>
  <c r="G252" i="15"/>
  <c r="H252" i="15" s="1"/>
  <c r="F253" i="15"/>
  <c r="G253" i="15"/>
  <c r="H253" i="15" s="1"/>
  <c r="F254" i="15"/>
  <c r="G254" i="15"/>
  <c r="H254" i="15" s="1"/>
  <c r="F255" i="15"/>
  <c r="G255" i="15"/>
  <c r="H255" i="15" s="1"/>
  <c r="F256" i="15"/>
  <c r="G256" i="15"/>
  <c r="H256" i="15" s="1"/>
  <c r="F218" i="15"/>
  <c r="F217" i="15"/>
  <c r="F216" i="15"/>
  <c r="F215" i="15"/>
  <c r="F214" i="15"/>
  <c r="F213" i="15"/>
  <c r="F212" i="15"/>
  <c r="F211" i="15"/>
  <c r="F210" i="15"/>
  <c r="F209" i="15"/>
  <c r="F208" i="15"/>
  <c r="G208" i="15"/>
  <c r="H208" i="15" s="1"/>
  <c r="F207" i="15"/>
  <c r="G207" i="15"/>
  <c r="H207" i="15" s="1"/>
  <c r="F206" i="15"/>
  <c r="G206" i="15"/>
  <c r="H206" i="15" s="1"/>
  <c r="F205" i="15"/>
  <c r="G205" i="15"/>
  <c r="H205" i="15" s="1"/>
  <c r="F204" i="15"/>
  <c r="G204" i="15"/>
  <c r="H204" i="15" s="1"/>
  <c r="F203" i="15"/>
  <c r="G203" i="15"/>
  <c r="H203" i="15" s="1"/>
  <c r="F202" i="15"/>
  <c r="G202" i="15"/>
  <c r="H202" i="15" s="1"/>
  <c r="F201" i="15"/>
  <c r="G201" i="15"/>
  <c r="H201" i="15" s="1"/>
  <c r="F200" i="15"/>
  <c r="G200" i="15"/>
  <c r="H200" i="15" s="1"/>
  <c r="F199" i="15"/>
  <c r="G199" i="15"/>
  <c r="H199" i="15" s="1"/>
  <c r="F198" i="15"/>
  <c r="G198" i="15"/>
  <c r="H198" i="15" s="1"/>
  <c r="F197" i="15"/>
  <c r="G197" i="15"/>
  <c r="H197" i="15" s="1"/>
  <c r="J197" i="15"/>
  <c r="J198" i="15"/>
  <c r="J199" i="15"/>
  <c r="J200" i="15"/>
  <c r="J201" i="15"/>
  <c r="J202" i="15"/>
  <c r="J203" i="15"/>
  <c r="J204" i="15"/>
  <c r="J205" i="15"/>
  <c r="J206" i="15"/>
  <c r="J207" i="15"/>
  <c r="J208" i="15"/>
  <c r="J209" i="15"/>
  <c r="J210" i="15"/>
  <c r="J211" i="15"/>
  <c r="J212" i="15"/>
  <c r="J213" i="15"/>
  <c r="J214" i="15"/>
  <c r="J215" i="15"/>
  <c r="J216" i="15"/>
  <c r="J217" i="15"/>
  <c r="J218" i="15"/>
  <c r="J219" i="15"/>
  <c r="J220" i="15"/>
  <c r="J221" i="15"/>
  <c r="J222" i="15"/>
  <c r="J223" i="15"/>
  <c r="J224" i="15"/>
  <c r="J225" i="15"/>
  <c r="J226" i="15"/>
  <c r="J227" i="15"/>
  <c r="J228" i="15"/>
  <c r="J229" i="15"/>
  <c r="J230" i="15"/>
  <c r="J231" i="15"/>
  <c r="J232" i="15"/>
  <c r="J233" i="15"/>
  <c r="J234" i="15"/>
  <c r="J235" i="15"/>
  <c r="J236" i="15"/>
  <c r="J237" i="15"/>
  <c r="J238" i="15"/>
  <c r="J239" i="15"/>
  <c r="J240" i="15"/>
  <c r="J241" i="15"/>
  <c r="J242" i="15"/>
  <c r="J243" i="15"/>
  <c r="J244" i="15"/>
  <c r="J245" i="15"/>
  <c r="J246" i="15"/>
  <c r="J247" i="15"/>
  <c r="J248" i="15"/>
  <c r="J249" i="15"/>
  <c r="J250" i="15"/>
  <c r="J251" i="15"/>
  <c r="J252" i="15"/>
  <c r="J253" i="15"/>
  <c r="J254" i="15"/>
  <c r="J255" i="15"/>
  <c r="J256" i="15"/>
  <c r="J257" i="15"/>
  <c r="F196" i="15"/>
  <c r="G196" i="15"/>
  <c r="H196" i="15" s="1"/>
  <c r="J196" i="15"/>
  <c r="F195" i="15"/>
  <c r="G195" i="15"/>
  <c r="H195" i="15" s="1"/>
  <c r="J195" i="15"/>
  <c r="F194" i="15"/>
  <c r="G194" i="15"/>
  <c r="H194" i="15" s="1"/>
  <c r="J194" i="15"/>
  <c r="J153" i="15"/>
  <c r="J154" i="15"/>
  <c r="J155" i="15"/>
  <c r="G154" i="15"/>
  <c r="H154" i="15" s="1"/>
  <c r="G155" i="15"/>
  <c r="H155" i="15" s="1"/>
  <c r="F154" i="15"/>
  <c r="F155" i="15"/>
  <c r="J130" i="15"/>
  <c r="J131" i="15"/>
  <c r="J132" i="15"/>
  <c r="J133" i="15"/>
  <c r="J134" i="15"/>
  <c r="J135" i="15"/>
  <c r="J136" i="15"/>
  <c r="J137" i="15"/>
  <c r="J138" i="15"/>
  <c r="J139" i="15"/>
  <c r="J140" i="15"/>
  <c r="J141" i="15"/>
  <c r="J142" i="15"/>
  <c r="J143" i="15"/>
  <c r="J144" i="15"/>
  <c r="J145" i="15"/>
  <c r="J146" i="15"/>
  <c r="J147" i="15"/>
  <c r="J148" i="15"/>
  <c r="J149" i="15"/>
  <c r="J150" i="15"/>
  <c r="J151" i="15"/>
  <c r="J152" i="15"/>
  <c r="J156" i="15"/>
  <c r="J157" i="15"/>
  <c r="J158" i="15"/>
  <c r="J159" i="15"/>
  <c r="J160" i="15"/>
  <c r="J161" i="15"/>
  <c r="J162" i="15"/>
  <c r="J163" i="15"/>
  <c r="J164" i="15"/>
  <c r="J165" i="15"/>
  <c r="J166" i="15"/>
  <c r="J167" i="15"/>
  <c r="J168" i="15"/>
  <c r="J169" i="15"/>
  <c r="J170" i="15"/>
  <c r="J171" i="15"/>
  <c r="J172" i="15"/>
  <c r="J173" i="15"/>
  <c r="J174" i="15"/>
  <c r="J175" i="15"/>
  <c r="J176" i="15"/>
  <c r="J177" i="15"/>
  <c r="J178" i="15"/>
  <c r="J179" i="15"/>
  <c r="J180" i="15"/>
  <c r="J181" i="15"/>
  <c r="J182" i="15"/>
  <c r="J183" i="15"/>
  <c r="J184" i="15"/>
  <c r="J185" i="15"/>
  <c r="J186" i="15"/>
  <c r="J187" i="15"/>
  <c r="J188" i="15"/>
  <c r="J189" i="15"/>
  <c r="J190" i="15"/>
  <c r="J191" i="15"/>
  <c r="J192" i="15"/>
  <c r="J193" i="15"/>
  <c r="F130" i="15"/>
  <c r="G130" i="15"/>
  <c r="H130" i="15" s="1"/>
  <c r="F131" i="15"/>
  <c r="G131" i="15"/>
  <c r="H131" i="15" s="1"/>
  <c r="F132" i="15"/>
  <c r="G132" i="15"/>
  <c r="H132" i="15" s="1"/>
  <c r="F133" i="15"/>
  <c r="G133" i="15"/>
  <c r="H133" i="15" s="1"/>
  <c r="F134" i="15"/>
  <c r="G134" i="15"/>
  <c r="H134" i="15" s="1"/>
  <c r="F135" i="15"/>
  <c r="G135" i="15"/>
  <c r="H135" i="15" s="1"/>
  <c r="F136" i="15"/>
  <c r="G136" i="15"/>
  <c r="H136" i="15" s="1"/>
  <c r="F137" i="15"/>
  <c r="G137" i="15"/>
  <c r="H137" i="15" s="1"/>
  <c r="F138" i="15"/>
  <c r="G138" i="15"/>
  <c r="H138" i="15" s="1"/>
  <c r="F139" i="15"/>
  <c r="G139" i="15"/>
  <c r="H139" i="15" s="1"/>
  <c r="F140" i="15"/>
  <c r="G140" i="15"/>
  <c r="H140" i="15" s="1"/>
  <c r="F141" i="15"/>
  <c r="G141" i="15"/>
  <c r="H141" i="15" s="1"/>
  <c r="F142" i="15"/>
  <c r="G142" i="15"/>
  <c r="H142" i="15" s="1"/>
  <c r="F143" i="15"/>
  <c r="G143" i="15"/>
  <c r="H143" i="15" s="1"/>
  <c r="F144" i="15"/>
  <c r="G144" i="15"/>
  <c r="H144" i="15" s="1"/>
  <c r="F145" i="15"/>
  <c r="G145" i="15"/>
  <c r="H145" i="15" s="1"/>
  <c r="F146" i="15"/>
  <c r="G146" i="15"/>
  <c r="H146" i="15" s="1"/>
  <c r="F147" i="15"/>
  <c r="G147" i="15"/>
  <c r="H147" i="15" s="1"/>
  <c r="F148" i="15"/>
  <c r="G148" i="15"/>
  <c r="H148" i="15" s="1"/>
  <c r="F149" i="15"/>
  <c r="G149" i="15"/>
  <c r="H149" i="15" s="1"/>
  <c r="F150" i="15"/>
  <c r="G150" i="15"/>
  <c r="H150" i="15" s="1"/>
  <c r="F151" i="15"/>
  <c r="G151" i="15"/>
  <c r="H151" i="15" s="1"/>
  <c r="F152" i="15"/>
  <c r="G152" i="15"/>
  <c r="H152" i="15" s="1"/>
  <c r="F153" i="15"/>
  <c r="G153" i="15"/>
  <c r="H153" i="15" s="1"/>
  <c r="F156" i="15"/>
  <c r="G156" i="15"/>
  <c r="H156" i="15" s="1"/>
  <c r="F157" i="15"/>
  <c r="G157" i="15"/>
  <c r="H157" i="15" s="1"/>
  <c r="F158" i="15"/>
  <c r="G158" i="15"/>
  <c r="H158" i="15" s="1"/>
  <c r="F159" i="15"/>
  <c r="G159" i="15"/>
  <c r="H159" i="15" s="1"/>
  <c r="F160" i="15"/>
  <c r="G160" i="15"/>
  <c r="H160" i="15" s="1"/>
  <c r="F161" i="15"/>
  <c r="G161" i="15"/>
  <c r="H161" i="15" s="1"/>
  <c r="F162" i="15"/>
  <c r="G162" i="15"/>
  <c r="H162" i="15" s="1"/>
  <c r="F163" i="15"/>
  <c r="G163" i="15"/>
  <c r="H163" i="15" s="1"/>
  <c r="F164" i="15"/>
  <c r="G164" i="15"/>
  <c r="H164" i="15" s="1"/>
  <c r="F165" i="15"/>
  <c r="G165" i="15"/>
  <c r="H165" i="15" s="1"/>
  <c r="F166" i="15"/>
  <c r="G166" i="15"/>
  <c r="H166" i="15" s="1"/>
  <c r="F167" i="15"/>
  <c r="G167" i="15"/>
  <c r="H167" i="15" s="1"/>
  <c r="F168" i="15"/>
  <c r="G168" i="15"/>
  <c r="H168" i="15" s="1"/>
  <c r="F169" i="15"/>
  <c r="G169" i="15"/>
  <c r="H169" i="15" s="1"/>
  <c r="F170" i="15"/>
  <c r="G170" i="15"/>
  <c r="H170" i="15" s="1"/>
  <c r="F171" i="15"/>
  <c r="G171" i="15"/>
  <c r="H171" i="15" s="1"/>
  <c r="F172" i="15"/>
  <c r="G172" i="15"/>
  <c r="H172" i="15" s="1"/>
  <c r="F173" i="15"/>
  <c r="G173" i="15"/>
  <c r="H173" i="15" s="1"/>
  <c r="F174" i="15"/>
  <c r="G174" i="15"/>
  <c r="H174" i="15" s="1"/>
  <c r="F175" i="15"/>
  <c r="G175" i="15"/>
  <c r="H175" i="15" s="1"/>
  <c r="F176" i="15"/>
  <c r="G176" i="15"/>
  <c r="H176" i="15" s="1"/>
  <c r="F177" i="15"/>
  <c r="G177" i="15"/>
  <c r="H177" i="15" s="1"/>
  <c r="F178" i="15"/>
  <c r="G178" i="15"/>
  <c r="H178" i="15" s="1"/>
  <c r="F179" i="15"/>
  <c r="G179" i="15"/>
  <c r="H179" i="15" s="1"/>
  <c r="F180" i="15"/>
  <c r="G180" i="15"/>
  <c r="H180" i="15" s="1"/>
  <c r="F181" i="15"/>
  <c r="G181" i="15"/>
  <c r="H181" i="15" s="1"/>
  <c r="F182" i="15"/>
  <c r="G182" i="15"/>
  <c r="H182" i="15" s="1"/>
  <c r="F183" i="15"/>
  <c r="G183" i="15"/>
  <c r="H183" i="15" s="1"/>
  <c r="F184" i="15"/>
  <c r="G184" i="15"/>
  <c r="H184" i="15" s="1"/>
  <c r="F185" i="15"/>
  <c r="G185" i="15"/>
  <c r="H185" i="15" s="1"/>
  <c r="F186" i="15"/>
  <c r="G186" i="15"/>
  <c r="H186" i="15" s="1"/>
  <c r="F187" i="15"/>
  <c r="G187" i="15"/>
  <c r="H187" i="15" s="1"/>
  <c r="F188" i="15"/>
  <c r="G188" i="15"/>
  <c r="H188" i="15" s="1"/>
  <c r="F189" i="15"/>
  <c r="G189" i="15"/>
  <c r="H189" i="15" s="1"/>
  <c r="F190" i="15"/>
  <c r="G190" i="15"/>
  <c r="H190" i="15" s="1"/>
  <c r="F191" i="15"/>
  <c r="G191" i="15"/>
  <c r="H191" i="15" s="1"/>
  <c r="F192" i="15"/>
  <c r="G192" i="15"/>
  <c r="H192" i="15" s="1"/>
  <c r="F193" i="15"/>
  <c r="G193" i="15"/>
  <c r="H193" i="15" s="1"/>
  <c r="F122" i="15"/>
  <c r="F123" i="15"/>
  <c r="F124" i="15"/>
  <c r="F125" i="15"/>
  <c r="F126" i="15"/>
  <c r="F127" i="15"/>
  <c r="F128" i="15"/>
  <c r="F129" i="15"/>
  <c r="F121" i="15"/>
  <c r="F120" i="15"/>
  <c r="F119" i="15"/>
  <c r="F118" i="15"/>
  <c r="F117" i="15"/>
  <c r="F116" i="15"/>
  <c r="F111" i="15"/>
  <c r="F112" i="15"/>
  <c r="F113" i="15"/>
  <c r="F114" i="15"/>
  <c r="F115" i="15"/>
  <c r="F110" i="15"/>
  <c r="F109" i="15"/>
  <c r="G108" i="15"/>
  <c r="H108" i="15" s="1"/>
  <c r="J108" i="15"/>
  <c r="G109" i="15"/>
  <c r="H109" i="15" s="1"/>
  <c r="J109" i="15"/>
  <c r="G110" i="15"/>
  <c r="H110" i="15" s="1"/>
  <c r="J110" i="15"/>
  <c r="G111" i="15"/>
  <c r="H111" i="15" s="1"/>
  <c r="J111" i="15"/>
  <c r="G112" i="15"/>
  <c r="H112" i="15" s="1"/>
  <c r="J112" i="15"/>
  <c r="G113" i="15"/>
  <c r="H113" i="15" s="1"/>
  <c r="J113" i="15"/>
  <c r="G114" i="15"/>
  <c r="H114" i="15" s="1"/>
  <c r="J114" i="15"/>
  <c r="G115" i="15"/>
  <c r="H115" i="15" s="1"/>
  <c r="J115" i="15"/>
  <c r="G116" i="15"/>
  <c r="H116" i="15" s="1"/>
  <c r="J116" i="15"/>
  <c r="G117" i="15"/>
  <c r="H117" i="15" s="1"/>
  <c r="J117" i="15"/>
  <c r="G118" i="15"/>
  <c r="H118" i="15" s="1"/>
  <c r="J118" i="15"/>
  <c r="G119" i="15"/>
  <c r="H119" i="15" s="1"/>
  <c r="J119" i="15"/>
  <c r="G120" i="15"/>
  <c r="H120" i="15" s="1"/>
  <c r="J120" i="15"/>
  <c r="G121" i="15"/>
  <c r="H121" i="15" s="1"/>
  <c r="J121" i="15"/>
  <c r="G122" i="15"/>
  <c r="H122" i="15" s="1"/>
  <c r="J122" i="15"/>
  <c r="G123" i="15"/>
  <c r="H123" i="15" s="1"/>
  <c r="J123" i="15"/>
  <c r="G124" i="15"/>
  <c r="H124" i="15" s="1"/>
  <c r="J124" i="15"/>
  <c r="G125" i="15"/>
  <c r="H125" i="15" s="1"/>
  <c r="J125" i="15"/>
  <c r="G126" i="15"/>
  <c r="H126" i="15" s="1"/>
  <c r="J126" i="15"/>
  <c r="G127" i="15"/>
  <c r="H127" i="15" s="1"/>
  <c r="J127" i="15"/>
  <c r="G128" i="15"/>
  <c r="H128" i="15" s="1"/>
  <c r="J128" i="15"/>
  <c r="G129" i="15"/>
  <c r="H129" i="15" s="1"/>
  <c r="J129" i="15"/>
  <c r="F108" i="15"/>
  <c r="J69" i="15"/>
  <c r="J70" i="15"/>
  <c r="J71" i="15"/>
  <c r="J72" i="15"/>
  <c r="J73" i="15"/>
  <c r="J74" i="15"/>
  <c r="J75" i="15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95" i="15"/>
  <c r="J96" i="15"/>
  <c r="J97" i="15"/>
  <c r="J98" i="15"/>
  <c r="J99" i="15"/>
  <c r="J100" i="15"/>
  <c r="J101" i="15"/>
  <c r="J102" i="15"/>
  <c r="J103" i="15"/>
  <c r="J104" i="15"/>
  <c r="J105" i="15"/>
  <c r="J107" i="15"/>
  <c r="J67" i="15"/>
  <c r="J68" i="15"/>
  <c r="J66" i="15"/>
  <c r="G67" i="15"/>
  <c r="H67" i="15" s="1"/>
  <c r="G68" i="15"/>
  <c r="H68" i="15" s="1"/>
  <c r="G69" i="15"/>
  <c r="H69" i="15" s="1"/>
  <c r="G70" i="15"/>
  <c r="H70" i="15" s="1"/>
  <c r="G71" i="15"/>
  <c r="H71" i="15" s="1"/>
  <c r="G72" i="15"/>
  <c r="H72" i="15" s="1"/>
  <c r="G73" i="15"/>
  <c r="H73" i="15" s="1"/>
  <c r="G74" i="15"/>
  <c r="H74" i="15" s="1"/>
  <c r="G75" i="15"/>
  <c r="H75" i="15" s="1"/>
  <c r="G76" i="15"/>
  <c r="H76" i="15" s="1"/>
  <c r="G77" i="15"/>
  <c r="H77" i="15" s="1"/>
  <c r="G78" i="15"/>
  <c r="H78" i="15" s="1"/>
  <c r="G79" i="15"/>
  <c r="H79" i="15" s="1"/>
  <c r="G80" i="15"/>
  <c r="H80" i="15" s="1"/>
  <c r="G81" i="15"/>
  <c r="H81" i="15" s="1"/>
  <c r="G82" i="15"/>
  <c r="H82" i="15" s="1"/>
  <c r="G83" i="15"/>
  <c r="H83" i="15" s="1"/>
  <c r="G84" i="15"/>
  <c r="H84" i="15" s="1"/>
  <c r="G85" i="15"/>
  <c r="H85" i="15" s="1"/>
  <c r="G86" i="15"/>
  <c r="H86" i="15" s="1"/>
  <c r="G87" i="15"/>
  <c r="H87" i="15" s="1"/>
  <c r="G88" i="15"/>
  <c r="H88" i="15" s="1"/>
  <c r="G89" i="15"/>
  <c r="H89" i="15" s="1"/>
  <c r="G90" i="15"/>
  <c r="H90" i="15" s="1"/>
  <c r="G91" i="15"/>
  <c r="H91" i="15" s="1"/>
  <c r="G92" i="15"/>
  <c r="H92" i="15" s="1"/>
  <c r="G93" i="15"/>
  <c r="H93" i="15" s="1"/>
  <c r="G94" i="15"/>
  <c r="H94" i="15" s="1"/>
  <c r="G95" i="15"/>
  <c r="H95" i="15" s="1"/>
  <c r="G96" i="15"/>
  <c r="H96" i="15" s="1"/>
  <c r="G97" i="15"/>
  <c r="H97" i="15" s="1"/>
  <c r="G98" i="15"/>
  <c r="H98" i="15" s="1"/>
  <c r="G99" i="15"/>
  <c r="H99" i="15" s="1"/>
  <c r="G100" i="15"/>
  <c r="H100" i="15" s="1"/>
  <c r="G101" i="15"/>
  <c r="H101" i="15" s="1"/>
  <c r="G102" i="15"/>
  <c r="H102" i="15" s="1"/>
  <c r="G103" i="15"/>
  <c r="H103" i="15" s="1"/>
  <c r="G104" i="15"/>
  <c r="H104" i="15" s="1"/>
  <c r="G105" i="15"/>
  <c r="H105" i="15" s="1"/>
  <c r="G106" i="15"/>
  <c r="H106" i="15" s="1"/>
  <c r="G107" i="15"/>
  <c r="H107" i="15" s="1"/>
  <c r="G66" i="15"/>
  <c r="H66" i="15" s="1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66" i="15"/>
  <c r="C54" i="15"/>
  <c r="F39" i="17" l="1"/>
  <c r="F40" i="17"/>
  <c r="F61" i="17"/>
  <c r="F41" i="17"/>
  <c r="F36" i="17"/>
  <c r="F63" i="17"/>
  <c r="F28" i="17"/>
  <c r="F37" i="17"/>
  <c r="F29" i="17"/>
  <c r="F64" i="17"/>
  <c r="F24" i="17"/>
  <c r="F25" i="17"/>
  <c r="F18" i="17"/>
  <c r="F19" i="17"/>
  <c r="F8" i="17"/>
  <c r="F20" i="17"/>
  <c r="F21" i="17"/>
  <c r="F17" i="17"/>
  <c r="F16" i="17"/>
  <c r="F9" i="17"/>
  <c r="F13" i="17"/>
  <c r="G24" i="15"/>
  <c r="H24" i="15"/>
  <c r="G64" i="15"/>
  <c r="G15" i="15"/>
  <c r="H15" i="15"/>
  <c r="H64" i="15"/>
  <c r="I42" i="15"/>
  <c r="G43" i="15"/>
  <c r="H43" i="15"/>
  <c r="G42" i="15"/>
  <c r="G14" i="15"/>
  <c r="H14" i="15"/>
  <c r="H39" i="15"/>
  <c r="I39" i="15"/>
  <c r="H38" i="15"/>
  <c r="G38" i="15"/>
  <c r="G8" i="15"/>
  <c r="H8" i="15"/>
  <c r="G52" i="15"/>
  <c r="H52" i="15"/>
  <c r="G41" i="15"/>
  <c r="H41" i="15"/>
  <c r="G62" i="15"/>
  <c r="H62" i="15"/>
  <c r="G40" i="15"/>
  <c r="H40" i="15"/>
  <c r="G37" i="15"/>
  <c r="H37" i="15"/>
  <c r="I20" i="15"/>
  <c r="G23" i="15"/>
  <c r="I7" i="15"/>
  <c r="H7" i="15"/>
  <c r="I22" i="15"/>
  <c r="H22" i="15"/>
  <c r="G20" i="15"/>
  <c r="H21" i="15"/>
  <c r="I21" i="15"/>
  <c r="I23" i="15"/>
  <c r="H2" i="15"/>
  <c r="I2" i="15"/>
  <c r="I3" i="15"/>
  <c r="H3" i="15"/>
  <c r="G19" i="15"/>
  <c r="I19" i="15"/>
  <c r="I60" i="15"/>
  <c r="G65" i="15"/>
  <c r="H65" i="15"/>
  <c r="G60" i="15"/>
  <c r="G33" i="15"/>
  <c r="H33" i="15"/>
  <c r="G10" i="15"/>
  <c r="I10" i="15"/>
  <c r="I9" i="15"/>
  <c r="H9" i="15"/>
  <c r="G34" i="15"/>
  <c r="H34" i="15"/>
  <c r="G35" i="15"/>
  <c r="I36" i="15"/>
  <c r="H35" i="15"/>
  <c r="G36" i="15"/>
  <c r="H30" i="15"/>
  <c r="I32" i="15"/>
  <c r="H32" i="15"/>
  <c r="I30" i="15"/>
  <c r="G29" i="15"/>
  <c r="H29" i="15"/>
  <c r="H61" i="15"/>
  <c r="I61" i="15"/>
  <c r="G46" i="15"/>
  <c r="H46" i="15"/>
  <c r="G31" i="15"/>
  <c r="H31" i="15"/>
  <c r="H50" i="15"/>
  <c r="G47" i="15"/>
  <c r="G44" i="15"/>
  <c r="G48" i="15"/>
  <c r="G50" i="15"/>
  <c r="G49" i="15"/>
  <c r="I44" i="15"/>
  <c r="I48" i="15"/>
  <c r="I49" i="15"/>
  <c r="I45" i="15"/>
  <c r="H45" i="15"/>
  <c r="G51" i="15"/>
  <c r="I47" i="15"/>
  <c r="I51" i="15"/>
  <c r="G5" i="15"/>
  <c r="H5" i="15"/>
  <c r="G4" i="15"/>
  <c r="H4" i="15"/>
  <c r="G13" i="15"/>
  <c r="H13" i="15"/>
  <c r="G11" i="15"/>
  <c r="H11" i="15"/>
  <c r="G12" i="15"/>
  <c r="H12" i="15"/>
  <c r="G56" i="15"/>
  <c r="G59" i="15"/>
  <c r="H59" i="15"/>
  <c r="H63" i="15"/>
  <c r="G63" i="15"/>
  <c r="H58" i="15"/>
  <c r="H57" i="15"/>
  <c r="I58" i="15"/>
  <c r="I57" i="15"/>
  <c r="H56" i="15"/>
  <c r="G54" i="15"/>
  <c r="H54" i="15"/>
  <c r="I54" i="15"/>
  <c r="G16" i="15"/>
  <c r="G28" i="15"/>
  <c r="H16" i="15"/>
  <c r="H28" i="15"/>
  <c r="H18" i="15"/>
  <c r="G17" i="15"/>
  <c r="H17" i="15"/>
  <c r="G18" i="15"/>
  <c r="H27" i="15"/>
  <c r="H26" i="15"/>
  <c r="I25" i="15"/>
  <c r="I27" i="15"/>
  <c r="I26" i="15"/>
  <c r="G25" i="15"/>
  <c r="G6" i="15"/>
  <c r="I53" i="15"/>
  <c r="H6" i="15"/>
  <c r="G53" i="15"/>
  <c r="I55" i="15"/>
  <c r="G55" i="15"/>
</calcChain>
</file>

<file path=xl/sharedStrings.xml><?xml version="1.0" encoding="utf-8"?>
<sst xmlns="http://schemas.openxmlformats.org/spreadsheetml/2006/main" count="1203" uniqueCount="172">
  <si>
    <t>Schools</t>
  </si>
  <si>
    <t>CMO</t>
  </si>
  <si>
    <t>Budgetted</t>
  </si>
  <si>
    <t>October 1 Count</t>
  </si>
  <si>
    <t>Variance</t>
  </si>
  <si>
    <t xml:space="preserve">%Variance </t>
  </si>
  <si>
    <t>Audubon (Gentilly)</t>
  </si>
  <si>
    <t>Audubon (Uptown)</t>
  </si>
  <si>
    <t xml:space="preserve">ACSA Behrman </t>
  </si>
  <si>
    <t>Algiers</t>
  </si>
  <si>
    <t>Ben Franklin Elementary/Middle Mathematics &amp; Sicence School</t>
  </si>
  <si>
    <t>Benjamin Franklin High School</t>
  </si>
  <si>
    <t>Bricolage Academy</t>
  </si>
  <si>
    <t>(CANO): Foundation Preparatory Charter</t>
  </si>
  <si>
    <t>CANO</t>
  </si>
  <si>
    <t>(CANO): Esperanza</t>
  </si>
  <si>
    <t>Collegiate: Abramson Sci Academy (HS)</t>
  </si>
  <si>
    <t>Collegiagte Academies</t>
  </si>
  <si>
    <t>Collegiate: G.W. Carver High School (HS)*</t>
  </si>
  <si>
    <t>Collegiate: Livingston Collegiate Academy (HS)**</t>
  </si>
  <si>
    <t>Collegiate: Walter L. Cohen High School (HS)</t>
  </si>
  <si>
    <t>Collegiate: Opportunities Academy (HS)</t>
  </si>
  <si>
    <t>Mildred Osborne</t>
  </si>
  <si>
    <t>CCS</t>
  </si>
  <si>
    <t>Harriet Tubeman</t>
  </si>
  <si>
    <t>Dorathy Height</t>
  </si>
  <si>
    <t>Dr. King Charter School</t>
  </si>
  <si>
    <t>FOKS</t>
  </si>
  <si>
    <t>Einstein Middle Sarah T. Reed</t>
  </si>
  <si>
    <t>Einstein Charter Schools</t>
  </si>
  <si>
    <t>Sarah T. Reed High School (HS)</t>
  </si>
  <si>
    <t>Sherwood Forest</t>
  </si>
  <si>
    <t>Village de l'Est</t>
  </si>
  <si>
    <t>Elan Academy Charter School</t>
  </si>
  <si>
    <t>The Net-Gentilly (HS)</t>
  </si>
  <si>
    <t>The NET-East (HS)</t>
  </si>
  <si>
    <t>EQA</t>
  </si>
  <si>
    <t>The Net-Central City (HS</t>
  </si>
  <si>
    <t>Fannie C. Williams Charter School (ES)*</t>
  </si>
  <si>
    <t>Arthur Ashe Charter School (ES)**</t>
  </si>
  <si>
    <t>Firstline</t>
  </si>
  <si>
    <t>Langston Hughes Academy (ES)</t>
  </si>
  <si>
    <t> Samuel J. Green Charter School (ES)</t>
  </si>
  <si>
    <t>Phillis Wheatley Community School (ES)</t>
  </si>
  <si>
    <t>Homer Plessy Community Schools</t>
  </si>
  <si>
    <t xml:space="preserve"> Lakeview (ES)</t>
  </si>
  <si>
    <t>Hynes</t>
  </si>
  <si>
    <t xml:space="preserve"> UNO (ES)</t>
  </si>
  <si>
    <t xml:space="preserve"> Parkview (ES)*/**</t>
  </si>
  <si>
    <t>Inspire: Alice M. Harte Charter School (ES)</t>
  </si>
  <si>
    <t>Inspire</t>
  </si>
  <si>
    <t>Inspire: Andrew H. Wilson Charter School (ES)*</t>
  </si>
  <si>
    <t>Inspire: Capdau S.T.E.A.M. (ES)</t>
  </si>
  <si>
    <t>Inspire: Edna Karr High School (HS)</t>
  </si>
  <si>
    <t>Inspire: Eleanor McMain Secondary School (HS)</t>
  </si>
  <si>
    <t>Inspire: Dwight D. Eisenhower Charter School (ES)</t>
  </si>
  <si>
    <t>Inspire: McDonogh #35 Senior High School (HS)</t>
  </si>
  <si>
    <t>Frederick A. Douglass High School</t>
  </si>
  <si>
    <t>KIPP</t>
  </si>
  <si>
    <t>KIPP: Believe</t>
  </si>
  <si>
    <t>John F. Kennedy High School</t>
  </si>
  <si>
    <t>KIPP: Central City</t>
  </si>
  <si>
    <t>KIPP: East Community Primary School</t>
  </si>
  <si>
    <t>KIPP: Morial</t>
  </si>
  <si>
    <t>Booker T. Washington High School</t>
  </si>
  <si>
    <t>KIPP: Leadership</t>
  </si>
  <si>
    <t>Lake Forest Elementary Charter School (ES)</t>
  </si>
  <si>
    <t>Mary Mcleod Bethune Elementary Charter School</t>
  </si>
  <si>
    <t>Morris Jeff Community School</t>
  </si>
  <si>
    <t>N.O. Math and Science (HS)</t>
  </si>
  <si>
    <t>ReNEW Dolores T. Aaron Academy</t>
  </si>
  <si>
    <t>ReNEW Schools</t>
  </si>
  <si>
    <t>ReNEW Moton Lakefront</t>
  </si>
  <si>
    <t>ReNEW Schaumburg Elementary</t>
  </si>
  <si>
    <t>ReNEW Laurel Elementary</t>
  </si>
  <si>
    <t>Rooted School</t>
  </si>
  <si>
    <t>Sophie B. Wright Charter School (HS)</t>
  </si>
  <si>
    <t>The Willow School (K-12)</t>
  </si>
  <si>
    <t>Success at Thurgood Marshall (ES)</t>
  </si>
  <si>
    <t>Warren Easton High School (HS)</t>
  </si>
  <si>
    <t>YACS at Lawrence D. Crocker (ES)**</t>
  </si>
  <si>
    <t>Fiscal Year</t>
  </si>
  <si>
    <t>FY26</t>
  </si>
  <si>
    <t>ACSA Landry</t>
  </si>
  <si>
    <t>Budget to Enrollment Ratio</t>
  </si>
  <si>
    <t>FY23</t>
  </si>
  <si>
    <t xml:space="preserve">Average Enrollment </t>
  </si>
  <si>
    <t>FY24</t>
  </si>
  <si>
    <t>FY25</t>
  </si>
  <si>
    <t>Feb-Oct Enrollment Ratio</t>
  </si>
  <si>
    <t>February 1 Count</t>
  </si>
  <si>
    <t>fY22</t>
  </si>
  <si>
    <t>596</t>
  </si>
  <si>
    <t>697</t>
  </si>
  <si>
    <t>751</t>
  </si>
  <si>
    <t>203</t>
  </si>
  <si>
    <t>141</t>
  </si>
  <si>
    <t>115</t>
  </si>
  <si>
    <t>895</t>
  </si>
  <si>
    <t>871</t>
  </si>
  <si>
    <t>822</t>
  </si>
  <si>
    <t>469</t>
  </si>
  <si>
    <t>1425</t>
  </si>
  <si>
    <t>870</t>
  </si>
  <si>
    <t>671</t>
  </si>
  <si>
    <t>715</t>
  </si>
  <si>
    <t>539</t>
  </si>
  <si>
    <t>473</t>
  </si>
  <si>
    <t>808</t>
  </si>
  <si>
    <t>514</t>
  </si>
  <si>
    <t>739</t>
  </si>
  <si>
    <t>464</t>
  </si>
  <si>
    <t>448</t>
  </si>
  <si>
    <t>708</t>
  </si>
  <si>
    <t>782</t>
  </si>
  <si>
    <t>850</t>
  </si>
  <si>
    <t>944</t>
  </si>
  <si>
    <t>874</t>
  </si>
  <si>
    <t>665</t>
  </si>
  <si>
    <t>641</t>
  </si>
  <si>
    <t>507</t>
  </si>
  <si>
    <t>801</t>
  </si>
  <si>
    <t>758</t>
  </si>
  <si>
    <t>831</t>
  </si>
  <si>
    <t>709</t>
  </si>
  <si>
    <t>667</t>
  </si>
  <si>
    <t>475</t>
  </si>
  <si>
    <t>173</t>
  </si>
  <si>
    <t>485</t>
  </si>
  <si>
    <t>763</t>
  </si>
  <si>
    <t>138</t>
  </si>
  <si>
    <t>986</t>
  </si>
  <si>
    <t>461</t>
  </si>
  <si>
    <t>357</t>
  </si>
  <si>
    <t>218</t>
  </si>
  <si>
    <t>299</t>
  </si>
  <si>
    <t>320</t>
  </si>
  <si>
    <t>1086</t>
  </si>
  <si>
    <t>738</t>
  </si>
  <si>
    <t>1111</t>
  </si>
  <si>
    <t>2284</t>
  </si>
  <si>
    <t>745</t>
  </si>
  <si>
    <t>974</t>
  </si>
  <si>
    <t>560</t>
  </si>
  <si>
    <t>430</t>
  </si>
  <si>
    <t>601</t>
  </si>
  <si>
    <t>893</t>
  </si>
  <si>
    <t>91</t>
  </si>
  <si>
    <t>1253</t>
  </si>
  <si>
    <t>458</t>
  </si>
  <si>
    <t>The Arthur School</t>
  </si>
  <si>
    <t>Annual Enrollment Variance</t>
  </si>
  <si>
    <t>Change</t>
  </si>
  <si>
    <t>Total Revenue</t>
  </si>
  <si>
    <t>Total Margin</t>
  </si>
  <si>
    <t>Total Aggre Margin</t>
  </si>
  <si>
    <t>Homer Plessy Community School</t>
  </si>
  <si>
    <t>FY22</t>
  </si>
  <si>
    <t>Crescent City Schools</t>
  </si>
  <si>
    <t>Audubon (Uptown &amp; Gentilly)</t>
  </si>
  <si>
    <t>Collegiate</t>
  </si>
  <si>
    <t>YACs</t>
  </si>
  <si>
    <t>Hynes Parkview</t>
  </si>
  <si>
    <t>Sarah Towles Reed High School (Einstein)</t>
  </si>
  <si>
    <t>L.B. Landry High School (ACSA)</t>
  </si>
  <si>
    <t>Rooted schools</t>
  </si>
  <si>
    <t>FY20</t>
  </si>
  <si>
    <t>FY21</t>
  </si>
  <si>
    <t>Benjamin Franklin High</t>
  </si>
  <si>
    <t>Inspire NOLA</t>
  </si>
  <si>
    <t>The Willow</t>
  </si>
  <si>
    <t xml:space="preserve">Hynes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</si>
</sst>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2"/>
      <color rgb="FF000000"/>
      <name val="Aptos"/>
      <family val="2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right"/>
    </xf>
    <xf numFmtId="9" fontId="1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wrapText="1"/>
    </xf>
    <xf numFmtId="1" fontId="1" fillId="0" borderId="0" xfId="0" applyNumberFormat="1" applyFont="1"/>
    <xf numFmtId="9" fontId="1" fillId="0" borderId="0" xfId="1" applyFont="1"/>
    <xf numFmtId="0" fontId="6" fillId="0" borderId="0" xfId="0" applyFont="1" applyAlignment="1">
      <alignment horizontal="right"/>
    </xf>
    <xf numFmtId="0" fontId="1" fillId="3" borderId="0" xfId="0" applyFont="1" applyFill="1"/>
    <xf numFmtId="0" fontId="4" fillId="3" borderId="0" xfId="0" applyFont="1" applyFill="1"/>
    <xf numFmtId="0" fontId="1" fillId="0" borderId="0" xfId="0" applyFont="1" applyFill="1"/>
    <xf numFmtId="9" fontId="6" fillId="0" borderId="0" xfId="1" applyFont="1" applyAlignment="1">
      <alignment horizontal="right"/>
    </xf>
    <xf numFmtId="9" fontId="6" fillId="0" borderId="0" xfId="1" applyFont="1" applyAlignment="1">
      <alignment wrapText="1"/>
    </xf>
    <xf numFmtId="1" fontId="1" fillId="0" borderId="0" xfId="0" applyNumberFormat="1" applyFont="1" applyAlignment="1">
      <alignment horizontal="right"/>
    </xf>
    <xf numFmtId="1" fontId="1" fillId="0" borderId="0" xfId="0" applyNumberFormat="1" applyFont="1" applyAlignment="1"/>
    <xf numFmtId="0" fontId="9" fillId="0" borderId="0" xfId="0" applyFont="1"/>
    <xf numFmtId="9" fontId="1" fillId="0" borderId="0" xfId="1" applyFont="1" applyAlignment="1">
      <alignment horizontal="right"/>
    </xf>
    <xf numFmtId="9" fontId="0" fillId="0" borderId="0" xfId="1" applyFont="1"/>
    <xf numFmtId="44" fontId="0" fillId="0" borderId="0" xfId="2" applyFont="1"/>
    <xf numFmtId="0" fontId="10" fillId="0" borderId="0" xfId="0" applyFont="1"/>
    <xf numFmtId="44" fontId="10" fillId="0" borderId="0" xfId="2" applyFont="1"/>
    <xf numFmtId="9" fontId="10" fillId="0" borderId="0" xfId="1" applyFont="1"/>
    <xf numFmtId="44" fontId="10" fillId="0" borderId="0" xfId="2" applyNumberFormat="1" applyFont="1"/>
    <xf numFmtId="44" fontId="0" fillId="0" borderId="0" xfId="2" applyNumberFormat="1" applyFont="1"/>
    <xf numFmtId="44" fontId="0" fillId="0" borderId="0" xfId="0" applyNumberFormat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C92EF-0EDF-4076-9CE2-E6C1FB2E93E0}">
  <dimension ref="A1:K325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A31" sqref="A31"/>
    </sheetView>
  </sheetViews>
  <sheetFormatPr defaultColWidth="9" defaultRowHeight="15" customHeight="1" x14ac:dyDescent="0.3"/>
  <cols>
    <col min="1" max="1" width="56.7265625" style="1" bestFit="1" customWidth="1"/>
    <col min="2" max="2" width="34.6328125" style="1" bestFit="1" customWidth="1"/>
    <col min="3" max="3" width="13.7265625" style="1" customWidth="1"/>
    <col min="4" max="4" width="17.81640625" style="1" bestFit="1" customWidth="1"/>
    <col min="5" max="5" width="16.1796875" style="1" customWidth="1"/>
    <col min="6" max="6" width="20.453125" style="1" bestFit="1" customWidth="1"/>
    <col min="7" max="7" width="16.1796875" style="1" customWidth="1"/>
    <col min="8" max="8" width="16.1796875" style="13" customWidth="1"/>
    <col min="9" max="9" width="16.1796875" style="1" customWidth="1"/>
    <col min="10" max="10" width="20.81640625" style="13" customWidth="1"/>
    <col min="11" max="11" width="15.81640625" style="1" customWidth="1"/>
    <col min="12" max="16384" width="9" style="1"/>
  </cols>
  <sheetData>
    <row r="1" spans="1:11" ht="45" x14ac:dyDescent="0.3">
      <c r="A1" s="9" t="s">
        <v>0</v>
      </c>
      <c r="B1" s="10" t="s">
        <v>1</v>
      </c>
      <c r="C1" s="9" t="s">
        <v>2</v>
      </c>
      <c r="D1" s="9" t="s">
        <v>90</v>
      </c>
      <c r="E1" s="9" t="s">
        <v>3</v>
      </c>
      <c r="F1" s="14" t="s">
        <v>86</v>
      </c>
      <c r="G1" s="14" t="s">
        <v>4</v>
      </c>
      <c r="H1" s="18" t="s">
        <v>5</v>
      </c>
      <c r="I1" s="11" t="s">
        <v>84</v>
      </c>
      <c r="J1" s="19" t="s">
        <v>89</v>
      </c>
      <c r="K1" s="9" t="s">
        <v>81</v>
      </c>
    </row>
    <row r="2" spans="1:11" ht="14" x14ac:dyDescent="0.3">
      <c r="A2" s="1" t="s">
        <v>6</v>
      </c>
      <c r="B2" s="2"/>
      <c r="C2" s="1">
        <v>475</v>
      </c>
      <c r="D2" s="7" t="s">
        <v>132</v>
      </c>
      <c r="E2" s="1">
        <v>464</v>
      </c>
      <c r="F2" s="12">
        <f>(D2+E2)/2</f>
        <v>462.5</v>
      </c>
      <c r="G2" s="12">
        <f t="shared" ref="G2:G20" si="0">F2-C2</f>
        <v>-12.5</v>
      </c>
      <c r="H2" s="13">
        <f t="shared" ref="H2:H20" si="1">(F2-C2)/C2</f>
        <v>-2.6315789473684209E-2</v>
      </c>
      <c r="I2" s="8">
        <f t="shared" ref="I2:I20" si="2">F2/C2</f>
        <v>0.97368421052631582</v>
      </c>
      <c r="J2" s="13">
        <f>D2/E2</f>
        <v>0.99353448275862066</v>
      </c>
      <c r="K2" s="1" t="s">
        <v>82</v>
      </c>
    </row>
    <row r="3" spans="1:11" ht="14" x14ac:dyDescent="0.3">
      <c r="A3" s="1" t="s">
        <v>7</v>
      </c>
      <c r="C3" s="1">
        <v>966</v>
      </c>
      <c r="D3" s="7" t="s">
        <v>131</v>
      </c>
      <c r="E3" s="1">
        <v>992</v>
      </c>
      <c r="F3" s="12">
        <f>(D3+E3)/2</f>
        <v>989</v>
      </c>
      <c r="G3" s="12">
        <f t="shared" si="0"/>
        <v>23</v>
      </c>
      <c r="H3" s="13">
        <f t="shared" si="1"/>
        <v>2.3809523809523808E-2</v>
      </c>
      <c r="I3" s="8">
        <f t="shared" si="2"/>
        <v>1.0238095238095237</v>
      </c>
      <c r="J3" s="13">
        <f t="shared" ref="J3:J20" si="3">D3/E3</f>
        <v>0.99395161290322576</v>
      </c>
      <c r="K3" s="1" t="s">
        <v>82</v>
      </c>
    </row>
    <row r="4" spans="1:11" ht="14" x14ac:dyDescent="0.3">
      <c r="A4" s="1" t="s">
        <v>8</v>
      </c>
      <c r="B4" s="1" t="s">
        <v>9</v>
      </c>
      <c r="C4" s="1">
        <v>727</v>
      </c>
      <c r="D4" s="7" t="s">
        <v>110</v>
      </c>
      <c r="E4" s="1">
        <v>690</v>
      </c>
      <c r="F4" s="20">
        <f>(D4+E4)/2</f>
        <v>714.5</v>
      </c>
      <c r="G4" s="12">
        <f t="shared" si="0"/>
        <v>-12.5</v>
      </c>
      <c r="H4" s="13">
        <f t="shared" si="1"/>
        <v>-1.7193947730398899E-2</v>
      </c>
      <c r="I4" s="8">
        <f t="shared" si="2"/>
        <v>0.98280605226960105</v>
      </c>
      <c r="J4" s="13">
        <f t="shared" si="3"/>
        <v>1.0710144927536231</v>
      </c>
      <c r="K4" s="1" t="s">
        <v>82</v>
      </c>
    </row>
    <row r="5" spans="1:11" ht="14" x14ac:dyDescent="0.3">
      <c r="A5" s="15" t="s">
        <v>83</v>
      </c>
      <c r="B5" s="1" t="s">
        <v>9</v>
      </c>
      <c r="C5" s="1">
        <v>541</v>
      </c>
      <c r="D5" s="7" t="s">
        <v>111</v>
      </c>
      <c r="E5" s="1">
        <v>500</v>
      </c>
      <c r="F5" s="1">
        <f>(D5+E5)/2</f>
        <v>482</v>
      </c>
      <c r="G5" s="1">
        <f t="shared" si="0"/>
        <v>-59</v>
      </c>
      <c r="H5" s="13">
        <f t="shared" si="1"/>
        <v>-0.10905730129390019</v>
      </c>
      <c r="I5" s="8">
        <f t="shared" si="2"/>
        <v>0.89094269870609977</v>
      </c>
      <c r="J5" s="13">
        <f t="shared" si="3"/>
        <v>0.92800000000000005</v>
      </c>
      <c r="K5" s="1" t="s">
        <v>82</v>
      </c>
    </row>
    <row r="6" spans="1:11" ht="14" x14ac:dyDescent="0.3">
      <c r="A6" s="1" t="s">
        <v>10</v>
      </c>
      <c r="C6" s="1">
        <v>774</v>
      </c>
      <c r="D6" s="7" t="s">
        <v>94</v>
      </c>
      <c r="E6" s="1">
        <v>738</v>
      </c>
      <c r="F6" s="20">
        <f>(E6+D6)/2</f>
        <v>744.5</v>
      </c>
      <c r="G6" s="12">
        <f t="shared" si="0"/>
        <v>-29.5</v>
      </c>
      <c r="H6" s="13">
        <f t="shared" si="1"/>
        <v>-3.8113695090439277E-2</v>
      </c>
      <c r="I6" s="8">
        <f t="shared" si="2"/>
        <v>0.96188630490956073</v>
      </c>
      <c r="J6" s="13">
        <f t="shared" si="3"/>
        <v>1.0176151761517616</v>
      </c>
      <c r="K6" s="1" t="s">
        <v>82</v>
      </c>
    </row>
    <row r="7" spans="1:11" ht="14" x14ac:dyDescent="0.3">
      <c r="A7" s="1" t="s">
        <v>11</v>
      </c>
      <c r="C7" s="1">
        <v>1055</v>
      </c>
      <c r="D7" s="7" t="s">
        <v>137</v>
      </c>
      <c r="E7" s="1">
        <v>1090</v>
      </c>
      <c r="F7" s="1">
        <f t="shared" ref="F7:F12" si="4">(D7+E7)/2</f>
        <v>1088</v>
      </c>
      <c r="G7" s="1">
        <f t="shared" si="0"/>
        <v>33</v>
      </c>
      <c r="H7" s="13">
        <f t="shared" si="1"/>
        <v>3.1279620853080566E-2</v>
      </c>
      <c r="I7" s="8">
        <f t="shared" si="2"/>
        <v>1.0312796208530806</v>
      </c>
      <c r="J7" s="13">
        <f t="shared" si="3"/>
        <v>0.9963302752293578</v>
      </c>
      <c r="K7" s="1" t="s">
        <v>82</v>
      </c>
    </row>
    <row r="8" spans="1:11" ht="14" x14ac:dyDescent="0.3">
      <c r="A8" s="17" t="s">
        <v>12</v>
      </c>
      <c r="C8" s="7">
        <v>990</v>
      </c>
      <c r="D8" s="7" t="s">
        <v>142</v>
      </c>
      <c r="E8" s="1">
        <v>972</v>
      </c>
      <c r="F8" s="1">
        <f t="shared" si="4"/>
        <v>973</v>
      </c>
      <c r="G8" s="1">
        <f t="shared" si="0"/>
        <v>-17</v>
      </c>
      <c r="H8" s="13">
        <f t="shared" si="1"/>
        <v>-1.7171717171717171E-2</v>
      </c>
      <c r="I8" s="8">
        <f t="shared" si="2"/>
        <v>0.98282828282828283</v>
      </c>
      <c r="J8" s="13">
        <f t="shared" si="3"/>
        <v>1.0020576131687242</v>
      </c>
      <c r="K8" s="1" t="s">
        <v>82</v>
      </c>
    </row>
    <row r="9" spans="1:11" ht="14.5" x14ac:dyDescent="0.35">
      <c r="A9" s="15" t="s">
        <v>13</v>
      </c>
      <c r="B9" s="1" t="s">
        <v>14</v>
      </c>
      <c r="C9" s="1">
        <v>260</v>
      </c>
      <c r="D9" s="7" t="s">
        <v>127</v>
      </c>
      <c r="E9">
        <v>181</v>
      </c>
      <c r="F9" s="1">
        <f t="shared" si="4"/>
        <v>177</v>
      </c>
      <c r="G9" s="1">
        <f t="shared" si="0"/>
        <v>-83</v>
      </c>
      <c r="H9" s="13">
        <f t="shared" si="1"/>
        <v>-0.31923076923076921</v>
      </c>
      <c r="I9" s="8">
        <f t="shared" si="2"/>
        <v>0.68076923076923079</v>
      </c>
      <c r="J9" s="13">
        <f t="shared" si="3"/>
        <v>0.95580110497237569</v>
      </c>
      <c r="K9" s="1" t="s">
        <v>82</v>
      </c>
    </row>
    <row r="10" spans="1:11" ht="14" x14ac:dyDescent="0.3">
      <c r="A10" s="15" t="s">
        <v>15</v>
      </c>
      <c r="B10" s="1" t="s">
        <v>14</v>
      </c>
      <c r="C10" s="1">
        <v>540</v>
      </c>
      <c r="D10" s="7" t="s">
        <v>128</v>
      </c>
      <c r="E10" s="1">
        <v>495</v>
      </c>
      <c r="F10" s="1">
        <f t="shared" si="4"/>
        <v>490</v>
      </c>
      <c r="G10" s="1">
        <f t="shared" si="0"/>
        <v>-50</v>
      </c>
      <c r="H10" s="13">
        <f t="shared" si="1"/>
        <v>-9.2592592592592587E-2</v>
      </c>
      <c r="I10" s="8">
        <f t="shared" si="2"/>
        <v>0.90740740740740744</v>
      </c>
      <c r="J10" s="13">
        <f t="shared" si="3"/>
        <v>0.97979797979797978</v>
      </c>
      <c r="K10" s="1" t="s">
        <v>82</v>
      </c>
    </row>
    <row r="11" spans="1:11" ht="14" x14ac:dyDescent="0.3">
      <c r="A11" s="1" t="s">
        <v>16</v>
      </c>
      <c r="B11" s="1" t="s">
        <v>17</v>
      </c>
      <c r="C11" s="1">
        <v>682</v>
      </c>
      <c r="D11" s="7">
        <v>685</v>
      </c>
      <c r="E11" s="1">
        <v>677</v>
      </c>
      <c r="F11" s="1">
        <f t="shared" si="4"/>
        <v>681</v>
      </c>
      <c r="G11" s="1">
        <f t="shared" si="0"/>
        <v>-1</v>
      </c>
      <c r="H11" s="13">
        <f t="shared" si="1"/>
        <v>-1.4662756598240469E-3</v>
      </c>
      <c r="I11" s="8">
        <f t="shared" si="2"/>
        <v>0.99853372434017595</v>
      </c>
      <c r="J11" s="13">
        <f t="shared" si="3"/>
        <v>1.0118168389955686</v>
      </c>
      <c r="K11" s="1" t="s">
        <v>82</v>
      </c>
    </row>
    <row r="12" spans="1:11" ht="14" x14ac:dyDescent="0.3">
      <c r="A12" s="1" t="s">
        <v>18</v>
      </c>
      <c r="B12" s="1" t="s">
        <v>17</v>
      </c>
      <c r="C12" s="1">
        <v>809</v>
      </c>
      <c r="D12" s="7" t="s">
        <v>108</v>
      </c>
      <c r="E12" s="1">
        <v>805</v>
      </c>
      <c r="F12" s="12">
        <f t="shared" si="4"/>
        <v>806.5</v>
      </c>
      <c r="G12" s="12">
        <f t="shared" si="0"/>
        <v>-2.5</v>
      </c>
      <c r="H12" s="13">
        <f t="shared" si="1"/>
        <v>-3.0902348578491965E-3</v>
      </c>
      <c r="I12" s="8">
        <f t="shared" si="2"/>
        <v>0.99690976514215079</v>
      </c>
      <c r="J12" s="13">
        <f t="shared" si="3"/>
        <v>1.0037267080745342</v>
      </c>
      <c r="K12" s="1" t="s">
        <v>82</v>
      </c>
    </row>
    <row r="13" spans="1:11" ht="14" x14ac:dyDescent="0.3">
      <c r="A13" s="1" t="s">
        <v>19</v>
      </c>
      <c r="B13" s="1" t="s">
        <v>17</v>
      </c>
      <c r="C13" s="1">
        <v>538</v>
      </c>
      <c r="D13" s="7" t="s">
        <v>109</v>
      </c>
      <c r="E13" s="1">
        <v>540</v>
      </c>
      <c r="F13" s="1">
        <f>(E13+D13)/2</f>
        <v>527</v>
      </c>
      <c r="G13" s="1">
        <f t="shared" si="0"/>
        <v>-11</v>
      </c>
      <c r="H13" s="13">
        <f t="shared" si="1"/>
        <v>-2.0446096654275093E-2</v>
      </c>
      <c r="I13" s="8">
        <f t="shared" si="2"/>
        <v>0.9795539033457249</v>
      </c>
      <c r="J13" s="13">
        <f t="shared" si="3"/>
        <v>0.95185185185185184</v>
      </c>
      <c r="K13" s="1" t="s">
        <v>82</v>
      </c>
    </row>
    <row r="14" spans="1:11" ht="14" x14ac:dyDescent="0.3">
      <c r="A14" s="1" t="s">
        <v>20</v>
      </c>
      <c r="B14" s="1" t="s">
        <v>17</v>
      </c>
      <c r="C14" s="1">
        <v>450</v>
      </c>
      <c r="D14" s="7" t="s">
        <v>144</v>
      </c>
      <c r="E14" s="1">
        <v>443</v>
      </c>
      <c r="F14" s="12">
        <f t="shared" ref="F14:F20" si="5">(D14+E14)/2</f>
        <v>436.5</v>
      </c>
      <c r="G14" s="12">
        <f t="shared" si="0"/>
        <v>-13.5</v>
      </c>
      <c r="H14" s="13">
        <f t="shared" si="1"/>
        <v>-0.03</v>
      </c>
      <c r="I14" s="8">
        <f t="shared" si="2"/>
        <v>0.97</v>
      </c>
      <c r="J14" s="13">
        <f t="shared" si="3"/>
        <v>0.97065462753950338</v>
      </c>
      <c r="K14" s="1" t="s">
        <v>82</v>
      </c>
    </row>
    <row r="15" spans="1:11" ht="14" x14ac:dyDescent="0.3">
      <c r="A15" s="1" t="s">
        <v>21</v>
      </c>
      <c r="B15" s="1" t="s">
        <v>17</v>
      </c>
      <c r="C15" s="1">
        <v>95</v>
      </c>
      <c r="D15" s="7" t="s">
        <v>147</v>
      </c>
      <c r="E15" s="1">
        <v>94</v>
      </c>
      <c r="F15" s="20">
        <f t="shared" si="5"/>
        <v>92.5</v>
      </c>
      <c r="G15" s="12">
        <f t="shared" si="0"/>
        <v>-2.5</v>
      </c>
      <c r="H15" s="13">
        <f t="shared" si="1"/>
        <v>-2.6315789473684209E-2</v>
      </c>
      <c r="I15" s="8">
        <f t="shared" si="2"/>
        <v>0.97368421052631582</v>
      </c>
      <c r="J15" s="13">
        <f t="shared" si="3"/>
        <v>0.96808510638297873</v>
      </c>
      <c r="K15" s="1" t="s">
        <v>82</v>
      </c>
    </row>
    <row r="16" spans="1:11" ht="14.5" customHeight="1" x14ac:dyDescent="0.3">
      <c r="A16" s="1" t="s">
        <v>22</v>
      </c>
      <c r="B16" s="1" t="s">
        <v>23</v>
      </c>
      <c r="C16" s="1">
        <v>850</v>
      </c>
      <c r="D16" s="7" t="s">
        <v>100</v>
      </c>
      <c r="E16" s="1">
        <v>834</v>
      </c>
      <c r="F16" s="1">
        <f t="shared" si="5"/>
        <v>828</v>
      </c>
      <c r="G16" s="1">
        <f t="shared" si="0"/>
        <v>-22</v>
      </c>
      <c r="H16" s="13">
        <f t="shared" si="1"/>
        <v>-2.5882352941176471E-2</v>
      </c>
      <c r="I16" s="8">
        <f t="shared" si="2"/>
        <v>0.97411764705882353</v>
      </c>
      <c r="J16" s="13">
        <f t="shared" si="3"/>
        <v>0.98561151079136688</v>
      </c>
      <c r="K16" s="1" t="s">
        <v>82</v>
      </c>
    </row>
    <row r="17" spans="1:11" ht="14.5" customHeight="1" x14ac:dyDescent="0.3">
      <c r="A17" s="1" t="s">
        <v>24</v>
      </c>
      <c r="B17" s="1" t="s">
        <v>23</v>
      </c>
      <c r="C17" s="1">
        <v>906</v>
      </c>
      <c r="D17" s="7" t="s">
        <v>98</v>
      </c>
      <c r="E17" s="1">
        <v>883</v>
      </c>
      <c r="F17" s="1">
        <f t="shared" si="5"/>
        <v>889</v>
      </c>
      <c r="G17" s="1">
        <f t="shared" si="0"/>
        <v>-17</v>
      </c>
      <c r="H17" s="13">
        <f t="shared" si="1"/>
        <v>-1.8763796909492272E-2</v>
      </c>
      <c r="I17" s="8">
        <f t="shared" si="2"/>
        <v>0.98123620309050774</v>
      </c>
      <c r="J17" s="13">
        <f t="shared" si="3"/>
        <v>1.013590033975085</v>
      </c>
      <c r="K17" s="1" t="s">
        <v>82</v>
      </c>
    </row>
    <row r="18" spans="1:11" ht="14.15" customHeight="1" x14ac:dyDescent="0.3">
      <c r="A18" s="1" t="s">
        <v>25</v>
      </c>
      <c r="B18" s="1" t="s">
        <v>23</v>
      </c>
      <c r="C18" s="1">
        <v>883</v>
      </c>
      <c r="D18" s="7" t="s">
        <v>99</v>
      </c>
      <c r="E18" s="1">
        <v>874</v>
      </c>
      <c r="F18" s="12">
        <f t="shared" si="5"/>
        <v>872.5</v>
      </c>
      <c r="G18" s="12">
        <f t="shared" si="0"/>
        <v>-10.5</v>
      </c>
      <c r="H18" s="13">
        <f t="shared" si="1"/>
        <v>-1.189127972819932E-2</v>
      </c>
      <c r="I18" s="8">
        <f t="shared" si="2"/>
        <v>0.98810872027180063</v>
      </c>
      <c r="J18" s="13">
        <f t="shared" si="3"/>
        <v>0.99656750572082375</v>
      </c>
      <c r="K18" s="1" t="s">
        <v>82</v>
      </c>
    </row>
    <row r="19" spans="1:11" ht="14" x14ac:dyDescent="0.3">
      <c r="A19" s="1" t="s">
        <v>26</v>
      </c>
      <c r="B19" s="1" t="s">
        <v>27</v>
      </c>
      <c r="C19" s="1">
        <v>430</v>
      </c>
      <c r="D19" s="7" t="s">
        <v>126</v>
      </c>
      <c r="E19" s="1">
        <v>453</v>
      </c>
      <c r="F19" s="1">
        <f t="shared" si="5"/>
        <v>464</v>
      </c>
      <c r="G19" s="1">
        <f t="shared" si="0"/>
        <v>34</v>
      </c>
      <c r="H19" s="13">
        <f t="shared" si="1"/>
        <v>7.9069767441860464E-2</v>
      </c>
      <c r="I19" s="8">
        <f t="shared" si="2"/>
        <v>1.0790697674418606</v>
      </c>
      <c r="J19" s="13">
        <f t="shared" si="3"/>
        <v>1.0485651214128036</v>
      </c>
      <c r="K19" s="1" t="s">
        <v>82</v>
      </c>
    </row>
    <row r="20" spans="1:11" ht="14" x14ac:dyDescent="0.3">
      <c r="A20" s="15" t="s">
        <v>28</v>
      </c>
      <c r="B20" s="1" t="s">
        <v>29</v>
      </c>
      <c r="C20" s="1">
        <v>265</v>
      </c>
      <c r="D20" s="7" t="s">
        <v>134</v>
      </c>
      <c r="E20" s="1">
        <v>227</v>
      </c>
      <c r="F20" s="12">
        <f t="shared" si="5"/>
        <v>222.5</v>
      </c>
      <c r="G20" s="12">
        <f t="shared" si="0"/>
        <v>-42.5</v>
      </c>
      <c r="H20" s="13">
        <f t="shared" si="1"/>
        <v>-0.16037735849056603</v>
      </c>
      <c r="I20" s="8">
        <f t="shared" si="2"/>
        <v>0.839622641509434</v>
      </c>
      <c r="J20" s="13">
        <f t="shared" si="3"/>
        <v>0.96035242290748901</v>
      </c>
      <c r="K20" s="1" t="s">
        <v>82</v>
      </c>
    </row>
    <row r="21" spans="1:11" ht="14" x14ac:dyDescent="0.3">
      <c r="A21" s="6" t="s">
        <v>30</v>
      </c>
      <c r="B21" s="1" t="s">
        <v>29</v>
      </c>
      <c r="C21" s="1">
        <v>387</v>
      </c>
      <c r="D21" s="7" t="s">
        <v>136</v>
      </c>
      <c r="E21" s="1">
        <v>384</v>
      </c>
      <c r="F21" s="12">
        <f t="shared" ref="F21:F23" si="6">(D21+E21)/2</f>
        <v>352</v>
      </c>
      <c r="G21" s="12">
        <f t="shared" ref="G21:G23" si="7">F21-C21</f>
        <v>-35</v>
      </c>
      <c r="H21" s="13">
        <f t="shared" ref="H21:H23" si="8">(F21-C21)/C21</f>
        <v>-9.0439276485788117E-2</v>
      </c>
      <c r="I21" s="8">
        <f t="shared" ref="I21:I23" si="9">F21/C21</f>
        <v>0.90956072351421191</v>
      </c>
      <c r="J21" s="13">
        <f t="shared" ref="J21:J23" si="10">D21/E21</f>
        <v>0.83333333333333337</v>
      </c>
      <c r="K21" s="1" t="s">
        <v>82</v>
      </c>
    </row>
    <row r="22" spans="1:11" ht="15.5" x14ac:dyDescent="0.35">
      <c r="A22" s="16" t="s">
        <v>31</v>
      </c>
      <c r="B22" s="1" t="s">
        <v>29</v>
      </c>
      <c r="C22" s="1">
        <v>345</v>
      </c>
      <c r="D22" s="7" t="s">
        <v>135</v>
      </c>
      <c r="E22" s="1">
        <v>303</v>
      </c>
      <c r="F22" s="12">
        <f t="shared" si="6"/>
        <v>301</v>
      </c>
      <c r="G22" s="12">
        <f t="shared" si="7"/>
        <v>-44</v>
      </c>
      <c r="H22" s="13">
        <f t="shared" si="8"/>
        <v>-0.12753623188405797</v>
      </c>
      <c r="I22" s="8">
        <f t="shared" si="9"/>
        <v>0.87246376811594206</v>
      </c>
      <c r="J22" s="13">
        <f t="shared" si="10"/>
        <v>0.98679867986798675</v>
      </c>
      <c r="K22" s="1" t="s">
        <v>82</v>
      </c>
    </row>
    <row r="23" spans="1:11" ht="16" x14ac:dyDescent="0.4">
      <c r="A23" s="4" t="s">
        <v>32</v>
      </c>
      <c r="B23" s="1" t="s">
        <v>29</v>
      </c>
      <c r="C23" s="1">
        <v>345</v>
      </c>
      <c r="D23" s="7" t="s">
        <v>133</v>
      </c>
      <c r="E23" s="1">
        <v>360</v>
      </c>
      <c r="F23" s="12">
        <f t="shared" si="6"/>
        <v>358.5</v>
      </c>
      <c r="G23" s="12">
        <f t="shared" si="7"/>
        <v>13.5</v>
      </c>
      <c r="H23" s="13">
        <f t="shared" si="8"/>
        <v>3.9130434782608699E-2</v>
      </c>
      <c r="I23" s="8">
        <f t="shared" si="9"/>
        <v>1.0391304347826087</v>
      </c>
      <c r="J23" s="13">
        <f t="shared" si="10"/>
        <v>0.9916666666666667</v>
      </c>
      <c r="K23" s="1" t="s">
        <v>82</v>
      </c>
    </row>
    <row r="24" spans="1:11" ht="14" x14ac:dyDescent="0.3">
      <c r="A24" s="17" t="s">
        <v>33</v>
      </c>
      <c r="C24" s="1">
        <v>470</v>
      </c>
      <c r="D24" s="7" t="s">
        <v>149</v>
      </c>
      <c r="E24" s="1">
        <v>453</v>
      </c>
      <c r="F24" s="12">
        <f>(D24+E24)/2</f>
        <v>455.5</v>
      </c>
      <c r="G24" s="12">
        <f>F24-C24</f>
        <v>-14.5</v>
      </c>
      <c r="H24" s="13">
        <f>(F24-C24)/C24</f>
        <v>-3.0851063829787233E-2</v>
      </c>
      <c r="I24" s="8">
        <f>F24/C24</f>
        <v>0.9691489361702128</v>
      </c>
      <c r="J24" s="13">
        <f>D24/E24</f>
        <v>1.011037527593819</v>
      </c>
      <c r="K24" s="1" t="s">
        <v>82</v>
      </c>
    </row>
    <row r="25" spans="1:11" ht="14" x14ac:dyDescent="0.3">
      <c r="A25" s="1" t="s">
        <v>34</v>
      </c>
      <c r="B25" s="1" t="s">
        <v>34</v>
      </c>
      <c r="C25" s="1">
        <v>130</v>
      </c>
      <c r="D25" s="7" t="s">
        <v>97</v>
      </c>
      <c r="E25" s="1">
        <v>149</v>
      </c>
      <c r="F25" s="1">
        <f>(D25+E25)/2</f>
        <v>132</v>
      </c>
      <c r="G25" s="1">
        <f>F25-C25</f>
        <v>2</v>
      </c>
      <c r="H25" s="13">
        <f>(F25-C25)/C25</f>
        <v>1.5384615384615385E-2</v>
      </c>
      <c r="I25" s="8">
        <f>F25/C25</f>
        <v>1.0153846153846153</v>
      </c>
      <c r="J25" s="13">
        <f>D25/E25</f>
        <v>0.77181208053691275</v>
      </c>
      <c r="K25" s="1" t="s">
        <v>82</v>
      </c>
    </row>
    <row r="26" spans="1:11" ht="14" x14ac:dyDescent="0.3">
      <c r="A26" s="1" t="s">
        <v>35</v>
      </c>
      <c r="B26" s="1" t="s">
        <v>36</v>
      </c>
      <c r="C26" s="1">
        <v>145</v>
      </c>
      <c r="D26" s="7" t="s">
        <v>96</v>
      </c>
      <c r="E26" s="1">
        <v>163</v>
      </c>
      <c r="F26" s="1">
        <f t="shared" ref="F26:F27" si="11">(D26+E26)/2</f>
        <v>152</v>
      </c>
      <c r="G26" s="1">
        <f t="shared" ref="G26:G27" si="12">F26-C26</f>
        <v>7</v>
      </c>
      <c r="H26" s="13">
        <f t="shared" ref="H26:H27" si="13">(F26-C26)/C26</f>
        <v>4.8275862068965517E-2</v>
      </c>
      <c r="I26" s="8">
        <f t="shared" ref="I26:I27" si="14">F26/C26</f>
        <v>1.0482758620689656</v>
      </c>
      <c r="J26" s="13">
        <f t="shared" ref="J26:J27" si="15">D26/E26</f>
        <v>0.86503067484662577</v>
      </c>
      <c r="K26" s="1" t="s">
        <v>82</v>
      </c>
    </row>
    <row r="27" spans="1:11" ht="14" x14ac:dyDescent="0.3">
      <c r="A27" s="1" t="s">
        <v>37</v>
      </c>
      <c r="B27" s="1" t="s">
        <v>36</v>
      </c>
      <c r="C27" s="1">
        <v>170</v>
      </c>
      <c r="D27" s="7" t="s">
        <v>95</v>
      </c>
      <c r="E27" s="1">
        <v>208</v>
      </c>
      <c r="F27" s="12">
        <f t="shared" si="11"/>
        <v>205.5</v>
      </c>
      <c r="G27" s="21">
        <f t="shared" si="12"/>
        <v>35.5</v>
      </c>
      <c r="H27" s="13">
        <f t="shared" si="13"/>
        <v>0.20882352941176471</v>
      </c>
      <c r="I27" s="8">
        <f t="shared" si="14"/>
        <v>1.2088235294117646</v>
      </c>
      <c r="J27" s="13">
        <f t="shared" si="15"/>
        <v>0.97596153846153844</v>
      </c>
      <c r="K27" s="1" t="s">
        <v>82</v>
      </c>
    </row>
    <row r="28" spans="1:11" ht="14" x14ac:dyDescent="0.3">
      <c r="A28" s="17" t="s">
        <v>38</v>
      </c>
      <c r="B28" s="1" t="s">
        <v>38</v>
      </c>
      <c r="C28" s="1">
        <v>460</v>
      </c>
      <c r="D28" s="7" t="s">
        <v>101</v>
      </c>
      <c r="E28" s="1">
        <v>471</v>
      </c>
      <c r="F28" s="1">
        <f t="shared" ref="F28:F36" si="16">(D28+E28)/2</f>
        <v>470</v>
      </c>
      <c r="G28" s="1">
        <f t="shared" ref="G28:G36" si="17">F28-C28</f>
        <v>10</v>
      </c>
      <c r="H28" s="13">
        <f t="shared" ref="H28:H36" si="18">(F28-C28)/C28</f>
        <v>2.1739130434782608E-2</v>
      </c>
      <c r="I28" s="8">
        <f t="shared" ref="I28:I36" si="19">F28/C28</f>
        <v>1.0217391304347827</v>
      </c>
      <c r="J28" s="13">
        <f t="shared" ref="J28:J36" si="20">D28/E28</f>
        <v>0.99575371549893843</v>
      </c>
      <c r="K28" s="1" t="s">
        <v>82</v>
      </c>
    </row>
    <row r="29" spans="1:11" ht="14" x14ac:dyDescent="0.3">
      <c r="A29" s="1" t="s">
        <v>39</v>
      </c>
      <c r="B29" s="1" t="s">
        <v>40</v>
      </c>
      <c r="C29" s="1">
        <v>785</v>
      </c>
      <c r="D29" s="7" t="s">
        <v>121</v>
      </c>
      <c r="E29" s="1">
        <v>785</v>
      </c>
      <c r="F29" s="1">
        <f t="shared" si="16"/>
        <v>793</v>
      </c>
      <c r="G29" s="1">
        <f t="shared" si="17"/>
        <v>8</v>
      </c>
      <c r="H29" s="13">
        <f t="shared" si="18"/>
        <v>1.019108280254777E-2</v>
      </c>
      <c r="I29" s="8">
        <f t="shared" si="19"/>
        <v>1.0101910828025478</v>
      </c>
      <c r="J29" s="13">
        <f t="shared" si="20"/>
        <v>1.0203821656050955</v>
      </c>
      <c r="K29" s="1" t="s">
        <v>82</v>
      </c>
    </row>
    <row r="30" spans="1:11" ht="14" x14ac:dyDescent="0.3">
      <c r="A30" s="1" t="s">
        <v>41</v>
      </c>
      <c r="B30" s="1" t="s">
        <v>40</v>
      </c>
      <c r="C30" s="1">
        <v>789</v>
      </c>
      <c r="D30" s="7" t="s">
        <v>123</v>
      </c>
      <c r="E30" s="1">
        <v>771</v>
      </c>
      <c r="F30" s="1">
        <f t="shared" si="16"/>
        <v>801</v>
      </c>
      <c r="G30" s="1">
        <f t="shared" si="17"/>
        <v>12</v>
      </c>
      <c r="H30" s="13">
        <f t="shared" si="18"/>
        <v>1.5209125475285171E-2</v>
      </c>
      <c r="I30" s="8">
        <f t="shared" si="19"/>
        <v>1.0152091254752851</v>
      </c>
      <c r="J30" s="13">
        <f t="shared" si="20"/>
        <v>1.0778210116731517</v>
      </c>
      <c r="K30" s="1" t="s">
        <v>82</v>
      </c>
    </row>
    <row r="31" spans="1:11" ht="14" x14ac:dyDescent="0.3">
      <c r="A31" s="17" t="s">
        <v>42</v>
      </c>
      <c r="B31" s="1" t="s">
        <v>40</v>
      </c>
      <c r="C31" s="1">
        <v>513</v>
      </c>
      <c r="D31" s="7" t="s">
        <v>120</v>
      </c>
      <c r="E31" s="1">
        <v>501</v>
      </c>
      <c r="F31" s="1">
        <f t="shared" si="16"/>
        <v>504</v>
      </c>
      <c r="G31" s="1">
        <f t="shared" si="17"/>
        <v>-9</v>
      </c>
      <c r="H31" s="13">
        <f t="shared" si="18"/>
        <v>-1.7543859649122806E-2</v>
      </c>
      <c r="I31" s="8">
        <f t="shared" si="19"/>
        <v>0.98245614035087714</v>
      </c>
      <c r="J31" s="13">
        <f t="shared" si="20"/>
        <v>1.0119760479041917</v>
      </c>
      <c r="K31" s="1" t="s">
        <v>82</v>
      </c>
    </row>
    <row r="32" spans="1:11" ht="14" x14ac:dyDescent="0.3">
      <c r="A32" s="17" t="s">
        <v>43</v>
      </c>
      <c r="B32" s="1" t="s">
        <v>40</v>
      </c>
      <c r="C32" s="1">
        <v>782</v>
      </c>
      <c r="D32" s="7" t="s">
        <v>122</v>
      </c>
      <c r="E32" s="1">
        <v>756</v>
      </c>
      <c r="F32" s="1">
        <f t="shared" si="16"/>
        <v>757</v>
      </c>
      <c r="G32" s="1">
        <f t="shared" si="17"/>
        <v>-25</v>
      </c>
      <c r="H32" s="13">
        <f t="shared" si="18"/>
        <v>-3.1969309462915603E-2</v>
      </c>
      <c r="I32" s="8">
        <f t="shared" si="19"/>
        <v>0.96803069053708435</v>
      </c>
      <c r="J32" s="13">
        <f t="shared" si="20"/>
        <v>1.0026455026455026</v>
      </c>
      <c r="K32" s="1" t="s">
        <v>82</v>
      </c>
    </row>
    <row r="33" spans="1:11" ht="14" x14ac:dyDescent="0.3">
      <c r="A33" s="17" t="s">
        <v>44</v>
      </c>
      <c r="C33" s="1">
        <v>787</v>
      </c>
      <c r="D33" s="7" t="s">
        <v>129</v>
      </c>
      <c r="E33" s="1">
        <v>780</v>
      </c>
      <c r="F33" s="12">
        <f t="shared" si="16"/>
        <v>771.5</v>
      </c>
      <c r="G33" s="12">
        <f t="shared" si="17"/>
        <v>-15.5</v>
      </c>
      <c r="H33" s="13">
        <f t="shared" si="18"/>
        <v>-1.9695044472681066E-2</v>
      </c>
      <c r="I33" s="8">
        <f t="shared" si="19"/>
        <v>0.98030495552731889</v>
      </c>
      <c r="J33" s="13">
        <f t="shared" si="20"/>
        <v>0.97820512820512817</v>
      </c>
      <c r="K33" s="1" t="s">
        <v>82</v>
      </c>
    </row>
    <row r="34" spans="1:11" ht="14" x14ac:dyDescent="0.3">
      <c r="A34" s="1" t="s">
        <v>45</v>
      </c>
      <c r="B34" s="1" t="s">
        <v>46</v>
      </c>
      <c r="C34" s="1">
        <v>710</v>
      </c>
      <c r="D34" s="7" t="s">
        <v>124</v>
      </c>
      <c r="E34" s="1">
        <v>697</v>
      </c>
      <c r="F34" s="1">
        <f t="shared" si="16"/>
        <v>703</v>
      </c>
      <c r="G34" s="1">
        <f t="shared" si="17"/>
        <v>-7</v>
      </c>
      <c r="H34" s="13">
        <f t="shared" si="18"/>
        <v>-9.8591549295774655E-3</v>
      </c>
      <c r="I34" s="8">
        <f t="shared" si="19"/>
        <v>0.99014084507042255</v>
      </c>
      <c r="J34" s="13">
        <f t="shared" si="20"/>
        <v>1.0172166427546629</v>
      </c>
      <c r="K34" s="1" t="s">
        <v>82</v>
      </c>
    </row>
    <row r="35" spans="1:11" ht="14" x14ac:dyDescent="0.3">
      <c r="A35" s="1" t="s">
        <v>47</v>
      </c>
      <c r="B35" s="1" t="s">
        <v>46</v>
      </c>
      <c r="C35" s="1">
        <v>690</v>
      </c>
      <c r="D35" s="7" t="s">
        <v>125</v>
      </c>
      <c r="E35" s="1">
        <v>674</v>
      </c>
      <c r="F35" s="12">
        <f t="shared" si="16"/>
        <v>670.5</v>
      </c>
      <c r="G35" s="1">
        <f t="shared" si="17"/>
        <v>-19.5</v>
      </c>
      <c r="H35" s="13">
        <f t="shared" si="18"/>
        <v>-2.8260869565217391E-2</v>
      </c>
      <c r="I35" s="8">
        <f t="shared" si="19"/>
        <v>0.97173913043478266</v>
      </c>
      <c r="J35" s="13">
        <f t="shared" si="20"/>
        <v>0.98961424332344217</v>
      </c>
      <c r="K35" s="1" t="s">
        <v>82</v>
      </c>
    </row>
    <row r="36" spans="1:11" ht="14" x14ac:dyDescent="0.3">
      <c r="A36" s="1" t="s">
        <v>48</v>
      </c>
      <c r="B36" s="1" t="s">
        <v>46</v>
      </c>
      <c r="C36" s="1">
        <v>500</v>
      </c>
      <c r="D36" s="7" t="s">
        <v>126</v>
      </c>
      <c r="E36" s="1">
        <v>490</v>
      </c>
      <c r="F36" s="12">
        <f t="shared" si="16"/>
        <v>482.5</v>
      </c>
      <c r="G36" s="1">
        <f t="shared" si="17"/>
        <v>-17.5</v>
      </c>
      <c r="H36" s="13">
        <f t="shared" si="18"/>
        <v>-3.5000000000000003E-2</v>
      </c>
      <c r="I36" s="8">
        <f t="shared" si="19"/>
        <v>0.96499999999999997</v>
      </c>
      <c r="J36" s="13">
        <f t="shared" si="20"/>
        <v>0.96938775510204078</v>
      </c>
      <c r="K36" s="1" t="s">
        <v>82</v>
      </c>
    </row>
    <row r="37" spans="1:11" ht="14" x14ac:dyDescent="0.3">
      <c r="A37" s="1" t="s">
        <v>49</v>
      </c>
      <c r="B37" s="1" t="s">
        <v>50</v>
      </c>
      <c r="C37" s="1">
        <v>735</v>
      </c>
      <c r="D37" s="7" t="s">
        <v>138</v>
      </c>
      <c r="E37" s="1">
        <v>708</v>
      </c>
      <c r="F37" s="1">
        <f t="shared" ref="F37:F46" si="21">(D37+E37)/2</f>
        <v>723</v>
      </c>
      <c r="G37" s="1">
        <f t="shared" ref="G37:G46" si="22">F37-C37</f>
        <v>-12</v>
      </c>
      <c r="H37" s="13">
        <f t="shared" ref="H37:H46" si="23">(F37-C37)/C37</f>
        <v>-1.6326530612244899E-2</v>
      </c>
      <c r="I37" s="8">
        <f t="shared" ref="I37:I46" si="24">F37/C37</f>
        <v>0.98367346938775513</v>
      </c>
      <c r="J37" s="13">
        <f t="shared" ref="J37:J46" si="25">D37/E37</f>
        <v>1.0423728813559323</v>
      </c>
      <c r="K37" s="1" t="s">
        <v>82</v>
      </c>
    </row>
    <row r="38" spans="1:11" ht="14" x14ac:dyDescent="0.3">
      <c r="A38" s="17" t="s">
        <v>51</v>
      </c>
      <c r="B38" s="1" t="s">
        <v>50</v>
      </c>
      <c r="C38" s="1">
        <v>605</v>
      </c>
      <c r="D38" s="7" t="s">
        <v>92</v>
      </c>
      <c r="E38" s="1">
        <v>604</v>
      </c>
      <c r="F38" s="1">
        <f t="shared" si="21"/>
        <v>600</v>
      </c>
      <c r="G38" s="1">
        <f t="shared" si="22"/>
        <v>-5</v>
      </c>
      <c r="H38" s="13">
        <f t="shared" si="23"/>
        <v>-8.2644628099173556E-3</v>
      </c>
      <c r="I38" s="8">
        <f t="shared" si="24"/>
        <v>0.99173553719008267</v>
      </c>
      <c r="J38" s="13">
        <f t="shared" si="25"/>
        <v>0.98675496688741726</v>
      </c>
      <c r="K38" s="1" t="s">
        <v>82</v>
      </c>
    </row>
    <row r="39" spans="1:11" ht="14" x14ac:dyDescent="0.3">
      <c r="A39" s="17" t="s">
        <v>52</v>
      </c>
      <c r="B39" s="1" t="s">
        <v>50</v>
      </c>
      <c r="C39" s="1">
        <v>572</v>
      </c>
      <c r="D39" s="7" t="s">
        <v>143</v>
      </c>
      <c r="E39" s="1">
        <v>562</v>
      </c>
      <c r="F39" s="1">
        <f t="shared" si="21"/>
        <v>561</v>
      </c>
      <c r="G39" s="1">
        <f t="shared" si="22"/>
        <v>-11</v>
      </c>
      <c r="H39" s="13">
        <f t="shared" si="23"/>
        <v>-1.9230769230769232E-2</v>
      </c>
      <c r="I39" s="8">
        <f t="shared" si="24"/>
        <v>0.98076923076923073</v>
      </c>
      <c r="J39" s="13">
        <f t="shared" si="25"/>
        <v>0.99644128113879005</v>
      </c>
      <c r="K39" s="1" t="s">
        <v>82</v>
      </c>
    </row>
    <row r="40" spans="1:11" ht="14" x14ac:dyDescent="0.3">
      <c r="A40" s="1" t="s">
        <v>53</v>
      </c>
      <c r="B40" s="1" t="s">
        <v>50</v>
      </c>
      <c r="C40" s="1">
        <v>1095</v>
      </c>
      <c r="D40" s="7" t="s">
        <v>139</v>
      </c>
      <c r="E40" s="1">
        <v>1137</v>
      </c>
      <c r="F40" s="1">
        <f t="shared" si="21"/>
        <v>1124</v>
      </c>
      <c r="G40" s="1">
        <f t="shared" si="22"/>
        <v>29</v>
      </c>
      <c r="H40" s="13">
        <f t="shared" si="23"/>
        <v>2.6484018264840183E-2</v>
      </c>
      <c r="I40" s="8">
        <f t="shared" si="24"/>
        <v>1.0264840182648403</v>
      </c>
      <c r="J40" s="13">
        <f t="shared" si="25"/>
        <v>0.97713280562884786</v>
      </c>
      <c r="K40" s="1" t="s">
        <v>82</v>
      </c>
    </row>
    <row r="41" spans="1:11" ht="14" x14ac:dyDescent="0.3">
      <c r="A41" s="1" t="s">
        <v>54</v>
      </c>
      <c r="B41" s="1" t="s">
        <v>50</v>
      </c>
      <c r="C41" s="1">
        <v>690</v>
      </c>
      <c r="D41" s="7" t="s">
        <v>124</v>
      </c>
      <c r="E41" s="1">
        <v>724</v>
      </c>
      <c r="F41" s="20">
        <f t="shared" si="21"/>
        <v>716.5</v>
      </c>
      <c r="G41" s="12">
        <f t="shared" si="22"/>
        <v>26.5</v>
      </c>
      <c r="H41" s="13">
        <f t="shared" si="23"/>
        <v>3.8405797101449278E-2</v>
      </c>
      <c r="I41" s="8">
        <f t="shared" si="24"/>
        <v>1.0384057971014493</v>
      </c>
      <c r="J41" s="13">
        <f t="shared" si="25"/>
        <v>0.97928176795580113</v>
      </c>
      <c r="K41" s="1" t="s">
        <v>82</v>
      </c>
    </row>
    <row r="42" spans="1:11" ht="14" x14ac:dyDescent="0.3">
      <c r="A42" s="1" t="s">
        <v>55</v>
      </c>
      <c r="B42" s="1" t="s">
        <v>50</v>
      </c>
      <c r="C42" s="1">
        <v>600</v>
      </c>
      <c r="D42" s="7" t="s">
        <v>145</v>
      </c>
      <c r="E42" s="1">
        <v>567</v>
      </c>
      <c r="F42" s="1">
        <f t="shared" si="21"/>
        <v>584</v>
      </c>
      <c r="G42" s="1">
        <f t="shared" si="22"/>
        <v>-16</v>
      </c>
      <c r="H42" s="13">
        <f t="shared" si="23"/>
        <v>-2.6666666666666668E-2</v>
      </c>
      <c r="I42" s="8">
        <f t="shared" si="24"/>
        <v>0.97333333333333338</v>
      </c>
      <c r="J42" s="13">
        <f t="shared" si="25"/>
        <v>1.0599647266313934</v>
      </c>
      <c r="K42" s="1" t="s">
        <v>82</v>
      </c>
    </row>
    <row r="43" spans="1:11" ht="14" x14ac:dyDescent="0.3">
      <c r="A43" s="1" t="s">
        <v>56</v>
      </c>
      <c r="B43" s="1" t="s">
        <v>50</v>
      </c>
      <c r="C43" s="1">
        <v>855</v>
      </c>
      <c r="D43" s="7" t="s">
        <v>146</v>
      </c>
      <c r="E43" s="1">
        <v>907</v>
      </c>
      <c r="F43" s="1">
        <f t="shared" si="21"/>
        <v>900</v>
      </c>
      <c r="G43" s="1">
        <f t="shared" si="22"/>
        <v>45</v>
      </c>
      <c r="H43" s="13">
        <f t="shared" si="23"/>
        <v>5.2631578947368418E-2</v>
      </c>
      <c r="I43" s="8">
        <f t="shared" si="24"/>
        <v>1.0526315789473684</v>
      </c>
      <c r="J43" s="13">
        <f t="shared" si="25"/>
        <v>0.9845644983461963</v>
      </c>
      <c r="K43" s="1" t="s">
        <v>82</v>
      </c>
    </row>
    <row r="44" spans="1:11" ht="14" x14ac:dyDescent="0.3">
      <c r="A44" s="1" t="s">
        <v>57</v>
      </c>
      <c r="B44" s="1" t="s">
        <v>58</v>
      </c>
      <c r="C44" s="1">
        <v>673</v>
      </c>
      <c r="D44" s="7" t="s">
        <v>118</v>
      </c>
      <c r="E44" s="1">
        <v>669</v>
      </c>
      <c r="F44" s="1">
        <f t="shared" si="21"/>
        <v>667</v>
      </c>
      <c r="G44" s="1">
        <f t="shared" si="22"/>
        <v>-6</v>
      </c>
      <c r="H44" s="13">
        <f t="shared" si="23"/>
        <v>-8.9153046062407128E-3</v>
      </c>
      <c r="I44" s="8">
        <f t="shared" si="24"/>
        <v>0.99108469539375932</v>
      </c>
      <c r="J44" s="13">
        <f t="shared" si="25"/>
        <v>0.99402092675635279</v>
      </c>
      <c r="K44" s="1" t="s">
        <v>82</v>
      </c>
    </row>
    <row r="45" spans="1:11" ht="14" x14ac:dyDescent="0.3">
      <c r="A45" s="1" t="s">
        <v>59</v>
      </c>
      <c r="B45" s="1" t="s">
        <v>58</v>
      </c>
      <c r="C45" s="1">
        <v>661</v>
      </c>
      <c r="D45" s="7" t="s">
        <v>113</v>
      </c>
      <c r="E45" s="1">
        <v>698</v>
      </c>
      <c r="F45" s="1">
        <f t="shared" si="21"/>
        <v>703</v>
      </c>
      <c r="G45" s="1">
        <f t="shared" si="22"/>
        <v>42</v>
      </c>
      <c r="H45" s="13">
        <f t="shared" si="23"/>
        <v>6.3540090771558241E-2</v>
      </c>
      <c r="I45" s="8">
        <f t="shared" si="24"/>
        <v>1.0635400907715582</v>
      </c>
      <c r="J45" s="13">
        <f t="shared" si="25"/>
        <v>1.0143266475644699</v>
      </c>
      <c r="K45" s="1" t="s">
        <v>82</v>
      </c>
    </row>
    <row r="46" spans="1:11" ht="14" x14ac:dyDescent="0.3">
      <c r="A46" s="1" t="s">
        <v>60</v>
      </c>
      <c r="B46" s="1" t="s">
        <v>58</v>
      </c>
      <c r="C46" s="1">
        <v>665</v>
      </c>
      <c r="D46" s="7" t="s">
        <v>119</v>
      </c>
      <c r="E46" s="1">
        <v>646</v>
      </c>
      <c r="F46" s="12">
        <f t="shared" si="21"/>
        <v>643.5</v>
      </c>
      <c r="G46" s="12">
        <f t="shared" si="22"/>
        <v>-21.5</v>
      </c>
      <c r="H46" s="13">
        <f t="shared" si="23"/>
        <v>-3.2330827067669175E-2</v>
      </c>
      <c r="I46" s="8">
        <f t="shared" si="24"/>
        <v>0.96766917293233079</v>
      </c>
      <c r="J46" s="13">
        <f t="shared" si="25"/>
        <v>0.99226006191950467</v>
      </c>
      <c r="K46" s="1" t="s">
        <v>82</v>
      </c>
    </row>
    <row r="47" spans="1:11" ht="14" x14ac:dyDescent="0.3">
      <c r="A47" s="1" t="s">
        <v>61</v>
      </c>
      <c r="B47" s="1" t="s">
        <v>58</v>
      </c>
      <c r="C47" s="1">
        <v>747</v>
      </c>
      <c r="D47" s="7" t="s">
        <v>114</v>
      </c>
      <c r="E47" s="1">
        <v>734</v>
      </c>
      <c r="F47" s="1">
        <f t="shared" ref="F47:F49" si="26">(D47+E47)/2</f>
        <v>758</v>
      </c>
      <c r="G47" s="1">
        <f t="shared" ref="G47:G49" si="27">F47-C47</f>
        <v>11</v>
      </c>
      <c r="H47" s="13">
        <f t="shared" ref="H47:H49" si="28">(F47-C47)/C47</f>
        <v>1.4725568942436412E-2</v>
      </c>
      <c r="I47" s="8">
        <f t="shared" ref="I47:I49" si="29">F47/C47</f>
        <v>1.0147255689424364</v>
      </c>
      <c r="J47" s="13">
        <f t="shared" ref="J47:J49" si="30">D47/E47</f>
        <v>1.0653950953678475</v>
      </c>
      <c r="K47" s="1" t="s">
        <v>82</v>
      </c>
    </row>
    <row r="48" spans="1:11" ht="14" x14ac:dyDescent="0.3">
      <c r="A48" s="1" t="s">
        <v>62</v>
      </c>
      <c r="B48" s="1" t="s">
        <v>58</v>
      </c>
      <c r="C48" s="1">
        <v>842</v>
      </c>
      <c r="D48" s="7" t="s">
        <v>115</v>
      </c>
      <c r="E48" s="1">
        <v>810</v>
      </c>
      <c r="F48" s="1">
        <f t="shared" si="26"/>
        <v>830</v>
      </c>
      <c r="G48" s="1">
        <f t="shared" si="27"/>
        <v>-12</v>
      </c>
      <c r="H48" s="13">
        <f t="shared" si="28"/>
        <v>-1.4251781472684086E-2</v>
      </c>
      <c r="I48" s="8">
        <f t="shared" si="29"/>
        <v>0.98574821852731587</v>
      </c>
      <c r="J48" s="13">
        <f t="shared" si="30"/>
        <v>1.0493827160493827</v>
      </c>
      <c r="K48" s="1" t="s">
        <v>82</v>
      </c>
    </row>
    <row r="49" spans="1:11" ht="14" x14ac:dyDescent="0.3">
      <c r="A49" s="1" t="s">
        <v>63</v>
      </c>
      <c r="B49" s="1" t="s">
        <v>58</v>
      </c>
      <c r="C49" s="1">
        <v>892</v>
      </c>
      <c r="D49" s="7" t="s">
        <v>116</v>
      </c>
      <c r="E49" s="1">
        <v>896</v>
      </c>
      <c r="F49" s="1">
        <f t="shared" si="26"/>
        <v>920</v>
      </c>
      <c r="G49" s="1">
        <f t="shared" si="27"/>
        <v>28</v>
      </c>
      <c r="H49" s="13">
        <f t="shared" si="28"/>
        <v>3.1390134529147982E-2</v>
      </c>
      <c r="I49" s="8">
        <f t="shared" si="29"/>
        <v>1.0313901345291481</v>
      </c>
      <c r="J49" s="13">
        <f t="shared" si="30"/>
        <v>1.0535714285714286</v>
      </c>
      <c r="K49" s="1" t="s">
        <v>82</v>
      </c>
    </row>
    <row r="50" spans="1:11" ht="14" x14ac:dyDescent="0.3">
      <c r="A50" s="1" t="s">
        <v>64</v>
      </c>
      <c r="B50" s="1" t="s">
        <v>58</v>
      </c>
      <c r="C50" s="1">
        <v>522</v>
      </c>
      <c r="D50" s="7" t="s">
        <v>109</v>
      </c>
      <c r="E50" s="1">
        <v>548</v>
      </c>
      <c r="F50" s="1">
        <f>(D50+E50)/2</f>
        <v>531</v>
      </c>
      <c r="G50" s="1">
        <f t="shared" ref="G50:G56" si="31">F50-C50</f>
        <v>9</v>
      </c>
      <c r="H50" s="13">
        <f t="shared" ref="H50:H56" si="32">(F50-C50)/C50</f>
        <v>1.7241379310344827E-2</v>
      </c>
      <c r="I50" s="8">
        <f t="shared" ref="I50:I56" si="33">F50/C50</f>
        <v>1.0172413793103448</v>
      </c>
      <c r="J50" s="13">
        <f>D50/E50</f>
        <v>0.93795620437956206</v>
      </c>
      <c r="K50" s="1" t="s">
        <v>82</v>
      </c>
    </row>
    <row r="51" spans="1:11" ht="14" x14ac:dyDescent="0.3">
      <c r="A51" s="1" t="s">
        <v>65</v>
      </c>
      <c r="B51" s="1" t="s">
        <v>58</v>
      </c>
      <c r="C51" s="1">
        <v>822</v>
      </c>
      <c r="D51" s="7" t="s">
        <v>117</v>
      </c>
      <c r="E51" s="1">
        <v>829</v>
      </c>
      <c r="F51" s="12">
        <f>(D51+E51)/2</f>
        <v>851.5</v>
      </c>
      <c r="G51" s="12">
        <f t="shared" si="31"/>
        <v>29.5</v>
      </c>
      <c r="H51" s="13">
        <f t="shared" si="32"/>
        <v>3.5888077858880776E-2</v>
      </c>
      <c r="I51" s="8">
        <f t="shared" si="33"/>
        <v>1.0358880778588808</v>
      </c>
      <c r="J51" s="13">
        <f>D51/E51</f>
        <v>1.0542822677925212</v>
      </c>
      <c r="K51" s="1" t="s">
        <v>82</v>
      </c>
    </row>
    <row r="52" spans="1:11" ht="14" x14ac:dyDescent="0.3">
      <c r="A52" s="1" t="s">
        <v>66</v>
      </c>
      <c r="C52" s="1">
        <v>750</v>
      </c>
      <c r="D52" s="7" t="s">
        <v>141</v>
      </c>
      <c r="E52" s="1">
        <v>753</v>
      </c>
      <c r="F52" s="1">
        <f>(D52+E52)/2</f>
        <v>749</v>
      </c>
      <c r="G52" s="1">
        <f t="shared" si="31"/>
        <v>-1</v>
      </c>
      <c r="H52" s="13">
        <f t="shared" si="32"/>
        <v>-1.3333333333333333E-3</v>
      </c>
      <c r="I52" s="8">
        <f t="shared" si="33"/>
        <v>0.9986666666666667</v>
      </c>
      <c r="J52" s="13">
        <f>D52/E52</f>
        <v>0.98937583001328022</v>
      </c>
      <c r="K52" s="1" t="s">
        <v>82</v>
      </c>
    </row>
    <row r="53" spans="1:11" ht="14" x14ac:dyDescent="0.3">
      <c r="A53" s="1" t="s">
        <v>67</v>
      </c>
      <c r="C53" s="1">
        <v>662</v>
      </c>
      <c r="D53" s="7" t="s">
        <v>93</v>
      </c>
      <c r="E53" s="1">
        <v>645</v>
      </c>
      <c r="F53" s="1">
        <f>(D53+E53)/2</f>
        <v>671</v>
      </c>
      <c r="G53" s="1">
        <f t="shared" si="31"/>
        <v>9</v>
      </c>
      <c r="H53" s="13">
        <f t="shared" si="32"/>
        <v>1.3595166163141994E-2</v>
      </c>
      <c r="I53" s="8">
        <f t="shared" si="33"/>
        <v>1.0135951661631419</v>
      </c>
      <c r="J53" s="13">
        <f>D53/E53</f>
        <v>1.0806201550387597</v>
      </c>
      <c r="K53" s="1" t="s">
        <v>82</v>
      </c>
    </row>
    <row r="54" spans="1:11" ht="14" x14ac:dyDescent="0.3">
      <c r="A54" s="1" t="s">
        <v>68</v>
      </c>
      <c r="C54" s="7">
        <f>1395+40</f>
        <v>1435</v>
      </c>
      <c r="D54" s="7" t="s">
        <v>102</v>
      </c>
      <c r="E54" s="1">
        <v>1394</v>
      </c>
      <c r="F54" s="12">
        <f>(D54+E54)/2</f>
        <v>1409.5</v>
      </c>
      <c r="G54" s="12">
        <f t="shared" si="31"/>
        <v>-25.5</v>
      </c>
      <c r="H54" s="13">
        <f t="shared" si="32"/>
        <v>-1.7770034843205575E-2</v>
      </c>
      <c r="I54" s="8">
        <f t="shared" si="33"/>
        <v>0.98222996515679439</v>
      </c>
      <c r="J54" s="13">
        <f>E54/F54</f>
        <v>0.98900319262149694</v>
      </c>
      <c r="K54" s="1" t="s">
        <v>82</v>
      </c>
    </row>
    <row r="55" spans="1:11" ht="14" x14ac:dyDescent="0.3">
      <c r="A55" s="1" t="s">
        <v>69</v>
      </c>
      <c r="C55" s="1">
        <v>600</v>
      </c>
      <c r="D55" s="7" t="s">
        <v>92</v>
      </c>
      <c r="E55" s="1">
        <v>615</v>
      </c>
      <c r="F55" s="12">
        <f>(E55+D55)/2</f>
        <v>605.5</v>
      </c>
      <c r="G55" s="12">
        <f t="shared" si="31"/>
        <v>5.5</v>
      </c>
      <c r="H55" s="13">
        <f t="shared" si="32"/>
        <v>9.1666666666666667E-3</v>
      </c>
      <c r="I55" s="8">
        <f t="shared" si="33"/>
        <v>1.0091666666666668</v>
      </c>
      <c r="J55" s="13">
        <f>D55/E55</f>
        <v>0.96910569105691058</v>
      </c>
      <c r="K55" s="1" t="s">
        <v>82</v>
      </c>
    </row>
    <row r="56" spans="1:11" ht="14" x14ac:dyDescent="0.3">
      <c r="A56" s="1" t="s">
        <v>70</v>
      </c>
      <c r="B56" s="1" t="s">
        <v>71</v>
      </c>
      <c r="C56" s="1">
        <v>694</v>
      </c>
      <c r="D56" s="7" t="s">
        <v>105</v>
      </c>
      <c r="E56" s="1">
        <v>691</v>
      </c>
      <c r="F56" s="1">
        <f>(D56+E56)/2</f>
        <v>703</v>
      </c>
      <c r="G56" s="1">
        <f t="shared" si="31"/>
        <v>9</v>
      </c>
      <c r="H56" s="13">
        <f t="shared" si="32"/>
        <v>1.2968299711815562E-2</v>
      </c>
      <c r="I56" s="8">
        <f t="shared" si="33"/>
        <v>1.0129682997118155</v>
      </c>
      <c r="J56" s="13">
        <f>D56/E56</f>
        <v>1.0347322720694645</v>
      </c>
      <c r="K56" s="1" t="s">
        <v>82</v>
      </c>
    </row>
    <row r="57" spans="1:11" ht="14" x14ac:dyDescent="0.3">
      <c r="A57" s="1" t="s">
        <v>72</v>
      </c>
      <c r="B57" s="1" t="s">
        <v>71</v>
      </c>
      <c r="C57" s="1">
        <v>455</v>
      </c>
      <c r="D57" s="7" t="s">
        <v>106</v>
      </c>
      <c r="E57" s="1">
        <v>501</v>
      </c>
      <c r="F57" s="1">
        <f t="shared" ref="F57" si="34">(D57+E57)/2</f>
        <v>520</v>
      </c>
      <c r="G57" s="1">
        <f t="shared" ref="G57:G58" si="35">F57-C57</f>
        <v>65</v>
      </c>
      <c r="H57" s="13">
        <f t="shared" ref="H57:H58" si="36">(F57-C57)/C57</f>
        <v>0.14285714285714285</v>
      </c>
      <c r="I57" s="8">
        <f t="shared" ref="I57:I58" si="37">F57/C57</f>
        <v>1.1428571428571428</v>
      </c>
      <c r="J57" s="13">
        <f t="shared" ref="J57:J59" si="38">D57/E57</f>
        <v>1.0758483033932136</v>
      </c>
      <c r="K57" s="1" t="s">
        <v>82</v>
      </c>
    </row>
    <row r="58" spans="1:11" ht="14" x14ac:dyDescent="0.3">
      <c r="A58" s="1" t="s">
        <v>73</v>
      </c>
      <c r="B58" s="1" t="s">
        <v>71</v>
      </c>
      <c r="C58" s="1">
        <v>650</v>
      </c>
      <c r="D58" s="7" t="s">
        <v>104</v>
      </c>
      <c r="E58" s="1">
        <v>618</v>
      </c>
      <c r="F58" s="12">
        <f t="shared" ref="F58:F65" si="39">(D58+E58)/2</f>
        <v>644.5</v>
      </c>
      <c r="G58" s="1">
        <f t="shared" si="35"/>
        <v>-5.5</v>
      </c>
      <c r="H58" s="13">
        <f t="shared" si="36"/>
        <v>-8.4615384615384613E-3</v>
      </c>
      <c r="I58" s="8">
        <f t="shared" si="37"/>
        <v>0.99153846153846159</v>
      </c>
      <c r="J58" s="13">
        <f t="shared" si="38"/>
        <v>1.0857605177993528</v>
      </c>
      <c r="K58" s="1" t="s">
        <v>82</v>
      </c>
    </row>
    <row r="59" spans="1:11" ht="14" x14ac:dyDescent="0.3">
      <c r="A59" s="15" t="s">
        <v>74</v>
      </c>
      <c r="B59" s="1" t="s">
        <v>71</v>
      </c>
      <c r="C59" s="7">
        <v>831</v>
      </c>
      <c r="D59" s="7" t="s">
        <v>103</v>
      </c>
      <c r="E59" s="1">
        <v>784</v>
      </c>
      <c r="F59" s="1">
        <f t="shared" si="39"/>
        <v>827</v>
      </c>
      <c r="G59" s="1">
        <f t="shared" ref="G59:G65" si="40">F59-C59</f>
        <v>-4</v>
      </c>
      <c r="H59" s="13">
        <f t="shared" ref="H59:H65" si="41">(F59-C59)/C59</f>
        <v>-4.8134777376654635E-3</v>
      </c>
      <c r="I59" s="8">
        <f t="shared" ref="I59:I65" si="42">F59/C59</f>
        <v>0.99518652226233451</v>
      </c>
      <c r="J59" s="13">
        <f t="shared" si="38"/>
        <v>1.1096938775510203</v>
      </c>
      <c r="K59" s="1" t="s">
        <v>82</v>
      </c>
    </row>
    <row r="60" spans="1:11" ht="14" x14ac:dyDescent="0.3">
      <c r="A60" s="15" t="s">
        <v>75</v>
      </c>
      <c r="C60" s="1">
        <v>155</v>
      </c>
      <c r="D60" s="7" t="s">
        <v>130</v>
      </c>
      <c r="E60" s="1">
        <v>140</v>
      </c>
      <c r="F60" s="1">
        <f t="shared" si="39"/>
        <v>139</v>
      </c>
      <c r="G60" s="1">
        <f t="shared" si="40"/>
        <v>-16</v>
      </c>
      <c r="H60" s="13">
        <f t="shared" si="41"/>
        <v>-0.1032258064516129</v>
      </c>
      <c r="I60" s="8">
        <f t="shared" si="42"/>
        <v>0.89677419354838706</v>
      </c>
      <c r="J60" s="13">
        <f t="shared" ref="J60:J66" si="43">D60/E60</f>
        <v>0.98571428571428577</v>
      </c>
      <c r="K60" s="1" t="s">
        <v>82</v>
      </c>
    </row>
    <row r="61" spans="1:11" ht="14" x14ac:dyDescent="0.3">
      <c r="A61" s="1" t="s">
        <v>76</v>
      </c>
      <c r="C61" s="1">
        <v>477</v>
      </c>
      <c r="D61" s="7" t="s">
        <v>112</v>
      </c>
      <c r="E61" s="1">
        <v>493</v>
      </c>
      <c r="F61" s="12">
        <f t="shared" si="39"/>
        <v>470.5</v>
      </c>
      <c r="G61" s="12">
        <f t="shared" si="40"/>
        <v>-6.5</v>
      </c>
      <c r="H61" s="13">
        <f t="shared" si="41"/>
        <v>-1.3626834381551363E-2</v>
      </c>
      <c r="I61" s="8">
        <f t="shared" si="42"/>
        <v>0.98637316561844868</v>
      </c>
      <c r="J61" s="13">
        <f t="shared" si="43"/>
        <v>0.90872210953346855</v>
      </c>
      <c r="K61" s="1" t="s">
        <v>82</v>
      </c>
    </row>
    <row r="62" spans="1:11" ht="14" x14ac:dyDescent="0.3">
      <c r="A62" s="1" t="s">
        <v>77</v>
      </c>
      <c r="C62" s="1">
        <v>2300</v>
      </c>
      <c r="D62" s="7" t="s">
        <v>140</v>
      </c>
      <c r="E62" s="1">
        <v>2290</v>
      </c>
      <c r="F62" s="1">
        <f t="shared" si="39"/>
        <v>2287</v>
      </c>
      <c r="G62" s="1">
        <f t="shared" si="40"/>
        <v>-13</v>
      </c>
      <c r="H62" s="13">
        <f t="shared" si="41"/>
        <v>-5.6521739130434784E-3</v>
      </c>
      <c r="I62" s="8">
        <f t="shared" si="42"/>
        <v>0.99434782608695649</v>
      </c>
      <c r="J62" s="13">
        <f t="shared" si="43"/>
        <v>0.99737991266375547</v>
      </c>
      <c r="K62" s="1" t="s">
        <v>82</v>
      </c>
    </row>
    <row r="63" spans="1:11" ht="14" x14ac:dyDescent="0.3">
      <c r="A63" s="17" t="s">
        <v>78</v>
      </c>
      <c r="C63" s="1">
        <v>485</v>
      </c>
      <c r="D63" s="7" t="s">
        <v>107</v>
      </c>
      <c r="E63" s="1">
        <v>472</v>
      </c>
      <c r="F63" s="12">
        <f t="shared" si="39"/>
        <v>472.5</v>
      </c>
      <c r="G63" s="12">
        <f t="shared" si="40"/>
        <v>-12.5</v>
      </c>
      <c r="H63" s="13">
        <f t="shared" si="41"/>
        <v>-2.5773195876288658E-2</v>
      </c>
      <c r="I63" s="8">
        <f t="shared" si="42"/>
        <v>0.97422680412371132</v>
      </c>
      <c r="J63" s="13">
        <f t="shared" si="43"/>
        <v>1.0021186440677967</v>
      </c>
      <c r="K63" s="1" t="s">
        <v>82</v>
      </c>
    </row>
    <row r="64" spans="1:11" ht="14" x14ac:dyDescent="0.3">
      <c r="A64" s="17" t="s">
        <v>79</v>
      </c>
      <c r="C64" s="1">
        <v>1250</v>
      </c>
      <c r="D64" s="7" t="s">
        <v>148</v>
      </c>
      <c r="E64" s="1">
        <v>1344</v>
      </c>
      <c r="F64" s="12">
        <f t="shared" si="39"/>
        <v>1298.5</v>
      </c>
      <c r="G64" s="12">
        <f t="shared" si="40"/>
        <v>48.5</v>
      </c>
      <c r="H64" s="13">
        <f t="shared" si="41"/>
        <v>3.8800000000000001E-2</v>
      </c>
      <c r="I64" s="8">
        <f t="shared" si="42"/>
        <v>1.0387999999999999</v>
      </c>
      <c r="J64" s="13">
        <f t="shared" si="43"/>
        <v>0.93229166666666663</v>
      </c>
      <c r="K64" s="1" t="s">
        <v>82</v>
      </c>
    </row>
    <row r="65" spans="1:11" ht="14" x14ac:dyDescent="0.3">
      <c r="A65" s="1" t="s">
        <v>80</v>
      </c>
      <c r="C65" s="1">
        <v>502</v>
      </c>
      <c r="D65" s="7" t="s">
        <v>126</v>
      </c>
      <c r="E65" s="1">
        <v>502</v>
      </c>
      <c r="F65" s="12">
        <f t="shared" si="39"/>
        <v>488.5</v>
      </c>
      <c r="G65" s="12">
        <f t="shared" si="40"/>
        <v>-13.5</v>
      </c>
      <c r="H65" s="13">
        <f t="shared" si="41"/>
        <v>-2.6892430278884463E-2</v>
      </c>
      <c r="I65" s="8">
        <f t="shared" si="42"/>
        <v>0.97310756972111556</v>
      </c>
      <c r="J65" s="13">
        <f t="shared" si="43"/>
        <v>0.94621513944223112</v>
      </c>
      <c r="K65" s="1" t="s">
        <v>82</v>
      </c>
    </row>
    <row r="66" spans="1:11" ht="15" customHeight="1" x14ac:dyDescent="0.3">
      <c r="A66" s="1" t="s">
        <v>6</v>
      </c>
      <c r="B66" s="2"/>
      <c r="D66" s="1">
        <v>341</v>
      </c>
      <c r="E66" s="1">
        <v>342</v>
      </c>
      <c r="F66" s="12">
        <f>(E66+D66)/2</f>
        <v>341.5</v>
      </c>
      <c r="G66" s="1">
        <f>D66-E66</f>
        <v>-1</v>
      </c>
      <c r="H66" s="13">
        <f>G66/E66</f>
        <v>-2.9239766081871343E-3</v>
      </c>
      <c r="J66" s="13">
        <f t="shared" si="43"/>
        <v>0.99707602339181289</v>
      </c>
      <c r="K66" s="1" t="s">
        <v>85</v>
      </c>
    </row>
    <row r="67" spans="1:11" ht="15" customHeight="1" x14ac:dyDescent="0.3">
      <c r="A67" s="1" t="s">
        <v>7</v>
      </c>
      <c r="D67" s="1">
        <v>836</v>
      </c>
      <c r="E67" s="1">
        <v>837</v>
      </c>
      <c r="F67" s="12">
        <f t="shared" ref="F67:F129" si="44">(E67+D67)/2</f>
        <v>836.5</v>
      </c>
      <c r="G67" s="1">
        <f t="shared" ref="G67:G107" si="45">D67-E67</f>
        <v>-1</v>
      </c>
      <c r="H67" s="13">
        <f t="shared" ref="H67:H107" si="46">G67/E67</f>
        <v>-1.1947431302270011E-3</v>
      </c>
      <c r="J67" s="13">
        <f t="shared" ref="J67:J107" si="47">D67/E67</f>
        <v>0.99880525686977295</v>
      </c>
      <c r="K67" s="1" t="s">
        <v>85</v>
      </c>
    </row>
    <row r="68" spans="1:11" ht="15" customHeight="1" x14ac:dyDescent="0.3">
      <c r="A68" s="1" t="s">
        <v>8</v>
      </c>
      <c r="B68" s="1" t="s">
        <v>9</v>
      </c>
      <c r="D68" s="1">
        <v>862</v>
      </c>
      <c r="E68" s="1">
        <v>843</v>
      </c>
      <c r="F68" s="12">
        <f t="shared" si="44"/>
        <v>852.5</v>
      </c>
      <c r="G68" s="1">
        <f t="shared" si="45"/>
        <v>19</v>
      </c>
      <c r="H68" s="13">
        <f t="shared" si="46"/>
        <v>2.2538552787663108E-2</v>
      </c>
      <c r="J68" s="13">
        <f t="shared" si="47"/>
        <v>1.0225385527876631</v>
      </c>
      <c r="K68" s="1" t="s">
        <v>85</v>
      </c>
    </row>
    <row r="69" spans="1:11" ht="15" customHeight="1" x14ac:dyDescent="0.3">
      <c r="A69" s="1" t="s">
        <v>83</v>
      </c>
      <c r="B69" s="1" t="s">
        <v>9</v>
      </c>
      <c r="D69" s="1">
        <v>614</v>
      </c>
      <c r="E69" s="1">
        <v>642</v>
      </c>
      <c r="F69" s="12">
        <f t="shared" si="44"/>
        <v>628</v>
      </c>
      <c r="G69" s="1">
        <f t="shared" si="45"/>
        <v>-28</v>
      </c>
      <c r="H69" s="13">
        <f t="shared" si="46"/>
        <v>-4.3613707165109032E-2</v>
      </c>
      <c r="J69" s="13">
        <f t="shared" si="47"/>
        <v>0.95638629283489096</v>
      </c>
      <c r="K69" s="1" t="s">
        <v>85</v>
      </c>
    </row>
    <row r="70" spans="1:11" ht="15" customHeight="1" x14ac:dyDescent="0.3">
      <c r="A70" s="1" t="s">
        <v>10</v>
      </c>
      <c r="D70" s="1">
        <v>717</v>
      </c>
      <c r="E70" s="1">
        <v>747</v>
      </c>
      <c r="F70" s="12">
        <f t="shared" si="44"/>
        <v>732</v>
      </c>
      <c r="G70" s="1">
        <f t="shared" si="45"/>
        <v>-30</v>
      </c>
      <c r="H70" s="13">
        <f t="shared" si="46"/>
        <v>-4.0160642570281124E-2</v>
      </c>
      <c r="J70" s="13">
        <f t="shared" si="47"/>
        <v>0.95983935742971882</v>
      </c>
      <c r="K70" s="1" t="s">
        <v>85</v>
      </c>
    </row>
    <row r="71" spans="1:11" ht="15" customHeight="1" x14ac:dyDescent="0.3">
      <c r="A71" s="1" t="s">
        <v>11</v>
      </c>
      <c r="D71" s="1">
        <v>1024</v>
      </c>
      <c r="E71" s="1">
        <v>1025</v>
      </c>
      <c r="F71" s="12">
        <f t="shared" si="44"/>
        <v>1024.5</v>
      </c>
      <c r="G71" s="1">
        <f t="shared" si="45"/>
        <v>-1</v>
      </c>
      <c r="H71" s="13">
        <f t="shared" si="46"/>
        <v>-9.7560975609756097E-4</v>
      </c>
      <c r="J71" s="13">
        <f t="shared" si="47"/>
        <v>0.99902439024390244</v>
      </c>
      <c r="K71" s="1" t="s">
        <v>85</v>
      </c>
    </row>
    <row r="72" spans="1:11" ht="15" customHeight="1" x14ac:dyDescent="0.3">
      <c r="A72" s="1" t="s">
        <v>12</v>
      </c>
      <c r="D72" s="1">
        <v>918</v>
      </c>
      <c r="E72" s="1">
        <v>901</v>
      </c>
      <c r="F72" s="12">
        <f t="shared" si="44"/>
        <v>909.5</v>
      </c>
      <c r="G72" s="1">
        <f t="shared" si="45"/>
        <v>17</v>
      </c>
      <c r="H72" s="13">
        <f t="shared" si="46"/>
        <v>1.8867924528301886E-2</v>
      </c>
      <c r="J72" s="13">
        <f t="shared" si="47"/>
        <v>1.0188679245283019</v>
      </c>
      <c r="K72" s="1" t="s">
        <v>85</v>
      </c>
    </row>
    <row r="73" spans="1:11" ht="15" customHeight="1" x14ac:dyDescent="0.3">
      <c r="A73" s="1" t="s">
        <v>13</v>
      </c>
      <c r="B73" s="1" t="s">
        <v>14</v>
      </c>
      <c r="D73" s="1">
        <v>209</v>
      </c>
      <c r="E73" s="1">
        <v>214</v>
      </c>
      <c r="F73" s="12">
        <f t="shared" si="44"/>
        <v>211.5</v>
      </c>
      <c r="G73" s="1">
        <f t="shared" si="45"/>
        <v>-5</v>
      </c>
      <c r="H73" s="13">
        <f t="shared" si="46"/>
        <v>-2.336448598130841E-2</v>
      </c>
      <c r="J73" s="13">
        <f t="shared" si="47"/>
        <v>0.97663551401869164</v>
      </c>
      <c r="K73" s="1" t="s">
        <v>85</v>
      </c>
    </row>
    <row r="74" spans="1:11" ht="15" customHeight="1" x14ac:dyDescent="0.3">
      <c r="A74" s="1" t="s">
        <v>15</v>
      </c>
      <c r="B74" s="1" t="s">
        <v>14</v>
      </c>
      <c r="D74" s="1">
        <v>532</v>
      </c>
      <c r="E74" s="1">
        <v>530</v>
      </c>
      <c r="F74" s="12">
        <f t="shared" si="44"/>
        <v>531</v>
      </c>
      <c r="G74" s="1">
        <f t="shared" si="45"/>
        <v>2</v>
      </c>
      <c r="H74" s="13">
        <f t="shared" si="46"/>
        <v>3.7735849056603774E-3</v>
      </c>
      <c r="J74" s="13">
        <f t="shared" si="47"/>
        <v>1.0037735849056604</v>
      </c>
      <c r="K74" s="1" t="s">
        <v>85</v>
      </c>
    </row>
    <row r="75" spans="1:11" ht="15" customHeight="1" x14ac:dyDescent="0.3">
      <c r="A75" s="1" t="s">
        <v>16</v>
      </c>
      <c r="B75" s="1" t="s">
        <v>17</v>
      </c>
      <c r="D75" s="1">
        <v>621</v>
      </c>
      <c r="E75" s="1">
        <v>638</v>
      </c>
      <c r="F75" s="12">
        <f t="shared" si="44"/>
        <v>629.5</v>
      </c>
      <c r="G75" s="1">
        <f t="shared" si="45"/>
        <v>-17</v>
      </c>
      <c r="H75" s="13">
        <f t="shared" si="46"/>
        <v>-2.664576802507837E-2</v>
      </c>
      <c r="J75" s="13">
        <f t="shared" si="47"/>
        <v>0.97335423197492166</v>
      </c>
      <c r="K75" s="1" t="s">
        <v>85</v>
      </c>
    </row>
    <row r="76" spans="1:11" ht="15" customHeight="1" x14ac:dyDescent="0.3">
      <c r="A76" s="1" t="s">
        <v>18</v>
      </c>
      <c r="B76" s="1" t="s">
        <v>17</v>
      </c>
      <c r="D76" s="1">
        <v>751</v>
      </c>
      <c r="E76" s="1">
        <v>780</v>
      </c>
      <c r="F76" s="12">
        <f t="shared" si="44"/>
        <v>765.5</v>
      </c>
      <c r="G76" s="1">
        <f t="shared" si="45"/>
        <v>-29</v>
      </c>
      <c r="H76" s="13">
        <f t="shared" si="46"/>
        <v>-3.7179487179487179E-2</v>
      </c>
      <c r="J76" s="13">
        <f t="shared" si="47"/>
        <v>0.96282051282051284</v>
      </c>
      <c r="K76" s="1" t="s">
        <v>85</v>
      </c>
    </row>
    <row r="77" spans="1:11" ht="15" customHeight="1" x14ac:dyDescent="0.3">
      <c r="A77" s="1" t="s">
        <v>19</v>
      </c>
      <c r="B77" s="1" t="s">
        <v>17</v>
      </c>
      <c r="D77" s="1">
        <v>569</v>
      </c>
      <c r="E77" s="1">
        <v>584</v>
      </c>
      <c r="F77" s="12">
        <f t="shared" si="44"/>
        <v>576.5</v>
      </c>
      <c r="G77" s="1">
        <f t="shared" si="45"/>
        <v>-15</v>
      </c>
      <c r="H77" s="13">
        <f t="shared" si="46"/>
        <v>-2.5684931506849314E-2</v>
      </c>
      <c r="J77" s="13">
        <f t="shared" si="47"/>
        <v>0.97431506849315064</v>
      </c>
      <c r="K77" s="1" t="s">
        <v>85</v>
      </c>
    </row>
    <row r="78" spans="1:11" ht="15" customHeight="1" x14ac:dyDescent="0.3">
      <c r="A78" s="1" t="s">
        <v>20</v>
      </c>
      <c r="B78" s="1" t="s">
        <v>17</v>
      </c>
      <c r="D78" s="1">
        <v>146</v>
      </c>
      <c r="E78" s="1">
        <v>140</v>
      </c>
      <c r="F78" s="12">
        <f t="shared" si="44"/>
        <v>143</v>
      </c>
      <c r="G78" s="1">
        <f t="shared" si="45"/>
        <v>6</v>
      </c>
      <c r="H78" s="13">
        <f t="shared" si="46"/>
        <v>4.2857142857142858E-2</v>
      </c>
      <c r="J78" s="13">
        <f t="shared" si="47"/>
        <v>1.0428571428571429</v>
      </c>
      <c r="K78" s="1" t="s">
        <v>85</v>
      </c>
    </row>
    <row r="79" spans="1:11" ht="15" customHeight="1" x14ac:dyDescent="0.3">
      <c r="A79" s="1" t="s">
        <v>21</v>
      </c>
      <c r="B79" s="1" t="s">
        <v>17</v>
      </c>
      <c r="D79" s="1">
        <v>76</v>
      </c>
      <c r="E79" s="1">
        <v>79</v>
      </c>
      <c r="F79" s="12">
        <f t="shared" si="44"/>
        <v>77.5</v>
      </c>
      <c r="G79" s="1">
        <f t="shared" si="45"/>
        <v>-3</v>
      </c>
      <c r="H79" s="13">
        <f t="shared" si="46"/>
        <v>-3.7974683544303799E-2</v>
      </c>
      <c r="J79" s="13">
        <f t="shared" si="47"/>
        <v>0.96202531645569622</v>
      </c>
      <c r="K79" s="1" t="s">
        <v>85</v>
      </c>
    </row>
    <row r="80" spans="1:11" ht="15" customHeight="1" x14ac:dyDescent="0.3">
      <c r="A80" s="1" t="s">
        <v>22</v>
      </c>
      <c r="B80" s="1" t="s">
        <v>23</v>
      </c>
      <c r="D80" s="1">
        <v>518</v>
      </c>
      <c r="E80" s="1">
        <v>511</v>
      </c>
      <c r="F80" s="12">
        <f t="shared" si="44"/>
        <v>514.5</v>
      </c>
      <c r="G80" s="1">
        <f t="shared" si="45"/>
        <v>7</v>
      </c>
      <c r="H80" s="13">
        <f t="shared" si="46"/>
        <v>1.3698630136986301E-2</v>
      </c>
      <c r="J80" s="13">
        <f t="shared" si="47"/>
        <v>1.0136986301369864</v>
      </c>
      <c r="K80" s="1" t="s">
        <v>85</v>
      </c>
    </row>
    <row r="81" spans="1:11" ht="15" customHeight="1" x14ac:dyDescent="0.3">
      <c r="A81" s="1" t="s">
        <v>24</v>
      </c>
      <c r="B81" s="1" t="s">
        <v>23</v>
      </c>
      <c r="D81" s="1">
        <v>837</v>
      </c>
      <c r="E81" s="1">
        <v>843</v>
      </c>
      <c r="F81" s="12">
        <f t="shared" si="44"/>
        <v>840</v>
      </c>
      <c r="G81" s="1">
        <f t="shared" si="45"/>
        <v>-6</v>
      </c>
      <c r="H81" s="13">
        <f t="shared" si="46"/>
        <v>-7.1174377224199285E-3</v>
      </c>
      <c r="J81" s="13">
        <f t="shared" si="47"/>
        <v>0.99288256227758009</v>
      </c>
      <c r="K81" s="1" t="s">
        <v>85</v>
      </c>
    </row>
    <row r="82" spans="1:11" ht="15" customHeight="1" x14ac:dyDescent="0.3">
      <c r="A82" s="1" t="s">
        <v>25</v>
      </c>
      <c r="B82" s="1" t="s">
        <v>23</v>
      </c>
      <c r="D82" s="1">
        <v>841</v>
      </c>
      <c r="E82" s="1">
        <v>833</v>
      </c>
      <c r="F82" s="12">
        <f t="shared" si="44"/>
        <v>837</v>
      </c>
      <c r="G82" s="1">
        <f t="shared" si="45"/>
        <v>8</v>
      </c>
      <c r="H82" s="13">
        <f t="shared" si="46"/>
        <v>9.6038415366146452E-3</v>
      </c>
      <c r="J82" s="13">
        <f t="shared" si="47"/>
        <v>1.0096038415366146</v>
      </c>
      <c r="K82" s="1" t="s">
        <v>85</v>
      </c>
    </row>
    <row r="83" spans="1:11" ht="15" customHeight="1" x14ac:dyDescent="0.3">
      <c r="A83" s="1" t="s">
        <v>26</v>
      </c>
      <c r="B83" s="1" t="s">
        <v>27</v>
      </c>
      <c r="D83" s="1">
        <v>837</v>
      </c>
      <c r="E83" s="1">
        <v>844</v>
      </c>
      <c r="F83" s="12">
        <f t="shared" si="44"/>
        <v>840.5</v>
      </c>
      <c r="G83" s="1">
        <f t="shared" si="45"/>
        <v>-7</v>
      </c>
      <c r="H83" s="13">
        <f t="shared" si="46"/>
        <v>-8.2938388625592423E-3</v>
      </c>
      <c r="J83" s="13">
        <f t="shared" si="47"/>
        <v>0.99170616113744081</v>
      </c>
      <c r="K83" s="1" t="s">
        <v>85</v>
      </c>
    </row>
    <row r="84" spans="1:11" ht="15" customHeight="1" x14ac:dyDescent="0.3">
      <c r="A84" s="1" t="s">
        <v>28</v>
      </c>
      <c r="B84" s="1" t="s">
        <v>29</v>
      </c>
      <c r="D84" s="1">
        <v>218</v>
      </c>
      <c r="E84" s="1">
        <v>212</v>
      </c>
      <c r="F84" s="12">
        <f t="shared" si="44"/>
        <v>215</v>
      </c>
      <c r="G84" s="1">
        <f t="shared" si="45"/>
        <v>6</v>
      </c>
      <c r="H84" s="13">
        <f t="shared" si="46"/>
        <v>2.8301886792452831E-2</v>
      </c>
      <c r="J84" s="13">
        <f t="shared" si="47"/>
        <v>1.0283018867924529</v>
      </c>
      <c r="K84" s="1" t="s">
        <v>85</v>
      </c>
    </row>
    <row r="85" spans="1:11" ht="15" customHeight="1" x14ac:dyDescent="0.3">
      <c r="A85" s="6" t="s">
        <v>30</v>
      </c>
      <c r="B85" s="1" t="s">
        <v>29</v>
      </c>
      <c r="D85" s="1">
        <v>344</v>
      </c>
      <c r="E85" s="1">
        <v>359</v>
      </c>
      <c r="F85" s="12">
        <f t="shared" si="44"/>
        <v>351.5</v>
      </c>
      <c r="G85" s="1">
        <f t="shared" si="45"/>
        <v>-15</v>
      </c>
      <c r="H85" s="13">
        <f t="shared" si="46"/>
        <v>-4.1782729805013928E-2</v>
      </c>
      <c r="J85" s="13">
        <f t="shared" si="47"/>
        <v>0.95821727019498604</v>
      </c>
      <c r="K85" s="1" t="s">
        <v>85</v>
      </c>
    </row>
    <row r="86" spans="1:11" ht="15" customHeight="1" x14ac:dyDescent="0.35">
      <c r="A86" s="5" t="s">
        <v>31</v>
      </c>
      <c r="B86" s="1" t="s">
        <v>29</v>
      </c>
      <c r="D86" s="1">
        <v>476</v>
      </c>
      <c r="E86" s="1">
        <v>481</v>
      </c>
      <c r="F86" s="12">
        <f t="shared" si="44"/>
        <v>478.5</v>
      </c>
      <c r="G86" s="1">
        <f t="shared" si="45"/>
        <v>-5</v>
      </c>
      <c r="H86" s="13">
        <f t="shared" si="46"/>
        <v>-1.0395010395010396E-2</v>
      </c>
      <c r="J86" s="13">
        <f t="shared" si="47"/>
        <v>0.98960498960498966</v>
      </c>
      <c r="K86" s="1" t="s">
        <v>85</v>
      </c>
    </row>
    <row r="87" spans="1:11" ht="15" customHeight="1" x14ac:dyDescent="0.4">
      <c r="A87" s="4" t="s">
        <v>32</v>
      </c>
      <c r="B87" s="1" t="s">
        <v>29</v>
      </c>
      <c r="D87" s="1">
        <v>480</v>
      </c>
      <c r="E87" s="1">
        <v>464</v>
      </c>
      <c r="F87" s="12">
        <f t="shared" si="44"/>
        <v>472</v>
      </c>
      <c r="G87" s="1">
        <f t="shared" si="45"/>
        <v>16</v>
      </c>
      <c r="H87" s="13">
        <f t="shared" si="46"/>
        <v>3.4482758620689655E-2</v>
      </c>
      <c r="J87" s="13">
        <f t="shared" si="47"/>
        <v>1.0344827586206897</v>
      </c>
      <c r="K87" s="1" t="s">
        <v>85</v>
      </c>
    </row>
    <row r="88" spans="1:11" ht="15" customHeight="1" x14ac:dyDescent="0.3">
      <c r="A88" s="1" t="s">
        <v>33</v>
      </c>
      <c r="D88" s="1">
        <v>365</v>
      </c>
      <c r="E88" s="1">
        <v>362</v>
      </c>
      <c r="F88" s="12">
        <f t="shared" si="44"/>
        <v>363.5</v>
      </c>
      <c r="G88" s="1">
        <f t="shared" si="45"/>
        <v>3</v>
      </c>
      <c r="H88" s="13">
        <f t="shared" si="46"/>
        <v>8.2872928176795577E-3</v>
      </c>
      <c r="J88" s="13">
        <f t="shared" si="47"/>
        <v>1.0082872928176796</v>
      </c>
      <c r="K88" s="1" t="s">
        <v>85</v>
      </c>
    </row>
    <row r="89" spans="1:11" ht="15" customHeight="1" x14ac:dyDescent="0.3">
      <c r="A89" s="1" t="s">
        <v>34</v>
      </c>
      <c r="B89" s="1" t="s">
        <v>34</v>
      </c>
      <c r="D89" s="1">
        <v>175</v>
      </c>
      <c r="E89" s="1">
        <v>192</v>
      </c>
      <c r="F89" s="12">
        <f t="shared" si="44"/>
        <v>183.5</v>
      </c>
      <c r="G89" s="1">
        <f t="shared" si="45"/>
        <v>-17</v>
      </c>
      <c r="H89" s="13">
        <f t="shared" si="46"/>
        <v>-8.8541666666666671E-2</v>
      </c>
      <c r="J89" s="13">
        <f t="shared" si="47"/>
        <v>0.91145833333333337</v>
      </c>
      <c r="K89" s="1" t="s">
        <v>85</v>
      </c>
    </row>
    <row r="90" spans="1:11" ht="15" customHeight="1" x14ac:dyDescent="0.3">
      <c r="A90" s="1" t="s">
        <v>35</v>
      </c>
      <c r="B90" s="1" t="s">
        <v>36</v>
      </c>
      <c r="D90" s="1">
        <v>151</v>
      </c>
      <c r="E90" s="1">
        <v>120</v>
      </c>
      <c r="F90" s="12">
        <f t="shared" si="44"/>
        <v>135.5</v>
      </c>
      <c r="G90" s="1">
        <f t="shared" si="45"/>
        <v>31</v>
      </c>
      <c r="H90" s="13">
        <f t="shared" si="46"/>
        <v>0.25833333333333336</v>
      </c>
      <c r="J90" s="13">
        <f t="shared" si="47"/>
        <v>1.2583333333333333</v>
      </c>
      <c r="K90" s="1" t="s">
        <v>85</v>
      </c>
    </row>
    <row r="91" spans="1:11" ht="15" customHeight="1" x14ac:dyDescent="0.3">
      <c r="A91" s="1" t="s">
        <v>37</v>
      </c>
      <c r="B91" s="1" t="s">
        <v>36</v>
      </c>
      <c r="D91" s="1">
        <v>144</v>
      </c>
      <c r="E91" s="1">
        <v>154</v>
      </c>
      <c r="F91" s="12">
        <f t="shared" si="44"/>
        <v>149</v>
      </c>
      <c r="G91" s="1">
        <f t="shared" si="45"/>
        <v>-10</v>
      </c>
      <c r="H91" s="13">
        <f t="shared" si="46"/>
        <v>-6.4935064935064929E-2</v>
      </c>
      <c r="J91" s="13">
        <f t="shared" si="47"/>
        <v>0.93506493506493504</v>
      </c>
      <c r="K91" s="1" t="s">
        <v>85</v>
      </c>
    </row>
    <row r="92" spans="1:11" ht="15" customHeight="1" x14ac:dyDescent="0.3">
      <c r="A92" s="1" t="s">
        <v>38</v>
      </c>
      <c r="B92" s="1" t="s">
        <v>38</v>
      </c>
      <c r="D92" s="1">
        <v>463</v>
      </c>
      <c r="E92" s="1">
        <v>471</v>
      </c>
      <c r="F92" s="12">
        <f t="shared" si="44"/>
        <v>467</v>
      </c>
      <c r="G92" s="1">
        <f t="shared" si="45"/>
        <v>-8</v>
      </c>
      <c r="H92" s="13">
        <f t="shared" si="46"/>
        <v>-1.6985138004246284E-2</v>
      </c>
      <c r="J92" s="13">
        <f t="shared" si="47"/>
        <v>0.98301486199575372</v>
      </c>
      <c r="K92" s="1" t="s">
        <v>85</v>
      </c>
    </row>
    <row r="93" spans="1:11" ht="15" customHeight="1" x14ac:dyDescent="0.3">
      <c r="A93" s="1" t="s">
        <v>39</v>
      </c>
      <c r="B93" s="1" t="s">
        <v>40</v>
      </c>
      <c r="D93" s="1">
        <v>799</v>
      </c>
      <c r="E93" s="1">
        <v>791</v>
      </c>
      <c r="F93" s="12">
        <f t="shared" si="44"/>
        <v>795</v>
      </c>
      <c r="G93" s="1">
        <f t="shared" si="45"/>
        <v>8</v>
      </c>
      <c r="H93" s="13">
        <f t="shared" si="46"/>
        <v>1.0113780025284451E-2</v>
      </c>
      <c r="J93" s="13">
        <f t="shared" si="47"/>
        <v>1.0101137800252844</v>
      </c>
      <c r="K93" s="1" t="s">
        <v>85</v>
      </c>
    </row>
    <row r="94" spans="1:11" ht="15" customHeight="1" x14ac:dyDescent="0.3">
      <c r="A94" s="1" t="s">
        <v>41</v>
      </c>
      <c r="B94" s="1" t="s">
        <v>40</v>
      </c>
      <c r="D94" s="1">
        <v>746</v>
      </c>
      <c r="E94" s="1">
        <v>745</v>
      </c>
      <c r="F94" s="12">
        <f t="shared" si="44"/>
        <v>745.5</v>
      </c>
      <c r="G94" s="1">
        <f t="shared" si="45"/>
        <v>1</v>
      </c>
      <c r="H94" s="13">
        <f t="shared" si="46"/>
        <v>1.3422818791946308E-3</v>
      </c>
      <c r="J94" s="13">
        <f t="shared" si="47"/>
        <v>1.0013422818791946</v>
      </c>
      <c r="K94" s="1" t="s">
        <v>85</v>
      </c>
    </row>
    <row r="95" spans="1:11" ht="15" customHeight="1" x14ac:dyDescent="0.3">
      <c r="A95" s="1" t="s">
        <v>42</v>
      </c>
      <c r="B95" s="1" t="s">
        <v>40</v>
      </c>
      <c r="D95" s="1">
        <v>496</v>
      </c>
      <c r="E95" s="1">
        <v>495</v>
      </c>
      <c r="F95" s="12">
        <f t="shared" si="44"/>
        <v>495.5</v>
      </c>
      <c r="G95" s="1">
        <f t="shared" si="45"/>
        <v>1</v>
      </c>
      <c r="H95" s="13">
        <f t="shared" si="46"/>
        <v>2.0202020202020202E-3</v>
      </c>
      <c r="J95" s="13">
        <f t="shared" si="47"/>
        <v>1.002020202020202</v>
      </c>
      <c r="K95" s="1" t="s">
        <v>85</v>
      </c>
    </row>
    <row r="96" spans="1:11" ht="15" customHeight="1" x14ac:dyDescent="0.3">
      <c r="A96" s="1" t="s">
        <v>43</v>
      </c>
      <c r="B96" s="1" t="s">
        <v>40</v>
      </c>
      <c r="D96" s="1">
        <v>770</v>
      </c>
      <c r="E96" s="1">
        <v>758</v>
      </c>
      <c r="F96" s="12">
        <f t="shared" si="44"/>
        <v>764</v>
      </c>
      <c r="G96" s="1">
        <f t="shared" si="45"/>
        <v>12</v>
      </c>
      <c r="H96" s="13">
        <f t="shared" si="46"/>
        <v>1.5831134564643801E-2</v>
      </c>
      <c r="J96" s="13">
        <f t="shared" si="47"/>
        <v>1.0158311345646438</v>
      </c>
      <c r="K96" s="1" t="s">
        <v>85</v>
      </c>
    </row>
    <row r="97" spans="1:11" ht="15" customHeight="1" x14ac:dyDescent="0.3">
      <c r="A97" s="1" t="s">
        <v>44</v>
      </c>
      <c r="D97" s="1">
        <v>736</v>
      </c>
      <c r="E97" s="1">
        <v>744</v>
      </c>
      <c r="F97" s="12">
        <f t="shared" si="44"/>
        <v>740</v>
      </c>
      <c r="G97" s="1">
        <f t="shared" si="45"/>
        <v>-8</v>
      </c>
      <c r="H97" s="13">
        <f t="shared" si="46"/>
        <v>-1.0752688172043012E-2</v>
      </c>
      <c r="J97" s="13">
        <f t="shared" si="47"/>
        <v>0.989247311827957</v>
      </c>
      <c r="K97" s="1" t="s">
        <v>85</v>
      </c>
    </row>
    <row r="98" spans="1:11" ht="15" customHeight="1" x14ac:dyDescent="0.3">
      <c r="A98" s="1" t="s">
        <v>45</v>
      </c>
      <c r="B98" s="1" t="s">
        <v>46</v>
      </c>
      <c r="D98" s="1">
        <v>703</v>
      </c>
      <c r="E98" s="1">
        <v>710</v>
      </c>
      <c r="F98" s="12">
        <f t="shared" si="44"/>
        <v>706.5</v>
      </c>
      <c r="G98" s="1">
        <f t="shared" si="45"/>
        <v>-7</v>
      </c>
      <c r="H98" s="13">
        <f t="shared" si="46"/>
        <v>-9.8591549295774655E-3</v>
      </c>
      <c r="J98" s="13">
        <f t="shared" si="47"/>
        <v>0.99014084507042255</v>
      </c>
      <c r="K98" s="1" t="s">
        <v>85</v>
      </c>
    </row>
    <row r="99" spans="1:11" ht="15" customHeight="1" x14ac:dyDescent="0.3">
      <c r="A99" s="1" t="s">
        <v>47</v>
      </c>
      <c r="B99" s="1" t="s">
        <v>46</v>
      </c>
      <c r="D99" s="1">
        <v>391</v>
      </c>
      <c r="E99" s="1">
        <v>393</v>
      </c>
      <c r="F99" s="12">
        <f t="shared" si="44"/>
        <v>392</v>
      </c>
      <c r="G99" s="1">
        <f t="shared" si="45"/>
        <v>-2</v>
      </c>
      <c r="H99" s="13">
        <f t="shared" si="46"/>
        <v>-5.0890585241730284E-3</v>
      </c>
      <c r="J99" s="13">
        <f t="shared" si="47"/>
        <v>0.99491094147582693</v>
      </c>
      <c r="K99" s="1" t="s">
        <v>85</v>
      </c>
    </row>
    <row r="100" spans="1:11" ht="15" customHeight="1" x14ac:dyDescent="0.3">
      <c r="A100" s="1" t="s">
        <v>48</v>
      </c>
      <c r="B100" s="1" t="s">
        <v>46</v>
      </c>
      <c r="D100" s="1">
        <v>474</v>
      </c>
      <c r="E100" s="1">
        <v>497</v>
      </c>
      <c r="F100" s="12">
        <f t="shared" si="44"/>
        <v>485.5</v>
      </c>
      <c r="G100" s="1">
        <f t="shared" si="45"/>
        <v>-23</v>
      </c>
      <c r="H100" s="13">
        <f t="shared" si="46"/>
        <v>-4.6277665995975853E-2</v>
      </c>
      <c r="J100" s="13">
        <f t="shared" si="47"/>
        <v>0.95372233400402417</v>
      </c>
      <c r="K100" s="1" t="s">
        <v>85</v>
      </c>
    </row>
    <row r="101" spans="1:11" ht="15" customHeight="1" x14ac:dyDescent="0.3">
      <c r="A101" s="1" t="s">
        <v>49</v>
      </c>
      <c r="B101" s="1" t="s">
        <v>50</v>
      </c>
      <c r="D101" s="1">
        <v>762</v>
      </c>
      <c r="E101" s="1">
        <v>744</v>
      </c>
      <c r="F101" s="12">
        <f t="shared" si="44"/>
        <v>753</v>
      </c>
      <c r="G101" s="1">
        <f t="shared" si="45"/>
        <v>18</v>
      </c>
      <c r="H101" s="13">
        <f t="shared" si="46"/>
        <v>2.4193548387096774E-2</v>
      </c>
      <c r="J101" s="13">
        <f t="shared" si="47"/>
        <v>1.0241935483870968</v>
      </c>
      <c r="K101" s="1" t="s">
        <v>85</v>
      </c>
    </row>
    <row r="102" spans="1:11" ht="15" customHeight="1" x14ac:dyDescent="0.3">
      <c r="A102" s="1" t="s">
        <v>51</v>
      </c>
      <c r="B102" s="1" t="s">
        <v>50</v>
      </c>
      <c r="D102" s="1">
        <v>661</v>
      </c>
      <c r="E102" s="1">
        <v>667</v>
      </c>
      <c r="F102" s="12">
        <f t="shared" si="44"/>
        <v>664</v>
      </c>
      <c r="G102" s="1">
        <f t="shared" si="45"/>
        <v>-6</v>
      </c>
      <c r="H102" s="13">
        <f t="shared" si="46"/>
        <v>-8.9955022488755615E-3</v>
      </c>
      <c r="J102" s="13">
        <f t="shared" si="47"/>
        <v>0.99100449775112442</v>
      </c>
      <c r="K102" s="1" t="s">
        <v>85</v>
      </c>
    </row>
    <row r="103" spans="1:11" ht="15" customHeight="1" x14ac:dyDescent="0.3">
      <c r="A103" s="1" t="s">
        <v>52</v>
      </c>
      <c r="B103" s="1" t="s">
        <v>50</v>
      </c>
      <c r="D103" s="1">
        <v>476</v>
      </c>
      <c r="E103" s="1">
        <v>467</v>
      </c>
      <c r="F103" s="12">
        <f t="shared" si="44"/>
        <v>471.5</v>
      </c>
      <c r="G103" s="1">
        <f t="shared" si="45"/>
        <v>9</v>
      </c>
      <c r="H103" s="13">
        <f t="shared" si="46"/>
        <v>1.9271948608137045E-2</v>
      </c>
      <c r="J103" s="13">
        <f t="shared" si="47"/>
        <v>1.019271948608137</v>
      </c>
      <c r="K103" s="1" t="s">
        <v>85</v>
      </c>
    </row>
    <row r="104" spans="1:11" ht="15" customHeight="1" x14ac:dyDescent="0.3">
      <c r="A104" s="1" t="s">
        <v>53</v>
      </c>
      <c r="B104" s="1" t="s">
        <v>50</v>
      </c>
      <c r="D104" s="1">
        <v>1102</v>
      </c>
      <c r="E104" s="1">
        <v>1116</v>
      </c>
      <c r="F104" s="12">
        <f t="shared" si="44"/>
        <v>1109</v>
      </c>
      <c r="G104" s="1">
        <f t="shared" si="45"/>
        <v>-14</v>
      </c>
      <c r="H104" s="13">
        <f t="shared" si="46"/>
        <v>-1.2544802867383513E-2</v>
      </c>
      <c r="J104" s="13">
        <f t="shared" si="47"/>
        <v>0.98745519713261654</v>
      </c>
      <c r="K104" s="1" t="s">
        <v>85</v>
      </c>
    </row>
    <row r="105" spans="1:11" ht="15" customHeight="1" x14ac:dyDescent="0.3">
      <c r="A105" s="1" t="s">
        <v>54</v>
      </c>
      <c r="B105" s="1" t="s">
        <v>50</v>
      </c>
      <c r="D105" s="1">
        <v>813</v>
      </c>
      <c r="E105" s="1">
        <v>820</v>
      </c>
      <c r="F105" s="12">
        <f t="shared" si="44"/>
        <v>816.5</v>
      </c>
      <c r="G105" s="1">
        <f t="shared" si="45"/>
        <v>-7</v>
      </c>
      <c r="H105" s="13">
        <f t="shared" si="46"/>
        <v>-8.5365853658536592E-3</v>
      </c>
      <c r="J105" s="13">
        <f t="shared" si="47"/>
        <v>0.99146341463414633</v>
      </c>
      <c r="K105" s="1" t="s">
        <v>85</v>
      </c>
    </row>
    <row r="106" spans="1:11" ht="15" customHeight="1" x14ac:dyDescent="0.3">
      <c r="A106" s="1" t="s">
        <v>55</v>
      </c>
      <c r="B106" s="1" t="s">
        <v>50</v>
      </c>
      <c r="D106" s="1">
        <v>654</v>
      </c>
      <c r="E106" s="1">
        <v>655</v>
      </c>
      <c r="F106" s="12">
        <f t="shared" si="44"/>
        <v>654.5</v>
      </c>
      <c r="G106" s="1">
        <f t="shared" si="45"/>
        <v>-1</v>
      </c>
      <c r="H106" s="13">
        <f t="shared" si="46"/>
        <v>-1.5267175572519084E-3</v>
      </c>
      <c r="J106" s="13">
        <f>D106/E106</f>
        <v>0.99847328244274813</v>
      </c>
      <c r="K106" s="1" t="s">
        <v>85</v>
      </c>
    </row>
    <row r="107" spans="1:11" ht="15" customHeight="1" x14ac:dyDescent="0.3">
      <c r="A107" s="1" t="s">
        <v>56</v>
      </c>
      <c r="B107" s="1" t="s">
        <v>50</v>
      </c>
      <c r="D107" s="1">
        <v>848</v>
      </c>
      <c r="E107" s="1">
        <v>839</v>
      </c>
      <c r="F107" s="12">
        <f t="shared" si="44"/>
        <v>843.5</v>
      </c>
      <c r="G107" s="1">
        <f t="shared" si="45"/>
        <v>9</v>
      </c>
      <c r="H107" s="13">
        <f t="shared" si="46"/>
        <v>1.0727056019070322E-2</v>
      </c>
      <c r="J107" s="13">
        <f t="shared" si="47"/>
        <v>1.0107270560190704</v>
      </c>
      <c r="K107" s="1" t="s">
        <v>85</v>
      </c>
    </row>
    <row r="108" spans="1:11" ht="15" customHeight="1" x14ac:dyDescent="0.3">
      <c r="A108" s="1" t="s">
        <v>57</v>
      </c>
      <c r="B108" s="1" t="s">
        <v>58</v>
      </c>
      <c r="D108" s="1">
        <v>634</v>
      </c>
      <c r="E108" s="1">
        <v>632</v>
      </c>
      <c r="F108" s="1">
        <f t="shared" si="44"/>
        <v>633</v>
      </c>
      <c r="G108" s="1">
        <f t="shared" ref="G108:G129" si="48">D108-E108</f>
        <v>2</v>
      </c>
      <c r="H108" s="13">
        <f t="shared" ref="H108:H129" si="49">G108/E108</f>
        <v>3.1645569620253164E-3</v>
      </c>
      <c r="J108" s="13">
        <f t="shared" ref="J108:J171" si="50">D108/E108</f>
        <v>1.0031645569620253</v>
      </c>
      <c r="K108" s="1" t="s">
        <v>85</v>
      </c>
    </row>
    <row r="109" spans="1:11" ht="15" customHeight="1" x14ac:dyDescent="0.3">
      <c r="A109" s="1" t="s">
        <v>59</v>
      </c>
      <c r="B109" s="1" t="s">
        <v>58</v>
      </c>
      <c r="D109" s="1">
        <v>732</v>
      </c>
      <c r="E109" s="1">
        <v>703</v>
      </c>
      <c r="F109" s="12">
        <f t="shared" si="44"/>
        <v>717.5</v>
      </c>
      <c r="G109" s="1">
        <f t="shared" si="48"/>
        <v>29</v>
      </c>
      <c r="H109" s="13">
        <f t="shared" si="49"/>
        <v>4.1251778093883355E-2</v>
      </c>
      <c r="J109" s="13">
        <f t="shared" si="50"/>
        <v>1.0412517780938833</v>
      </c>
      <c r="K109" s="1" t="s">
        <v>85</v>
      </c>
    </row>
    <row r="110" spans="1:11" ht="15" customHeight="1" x14ac:dyDescent="0.3">
      <c r="A110" s="1" t="s">
        <v>60</v>
      </c>
      <c r="B110" s="1" t="s">
        <v>58</v>
      </c>
      <c r="D110" s="1">
        <v>516</v>
      </c>
      <c r="E110" s="1">
        <v>518</v>
      </c>
      <c r="F110" s="12">
        <f t="shared" si="44"/>
        <v>517</v>
      </c>
      <c r="G110" s="1">
        <f t="shared" si="48"/>
        <v>-2</v>
      </c>
      <c r="H110" s="13">
        <f t="shared" si="49"/>
        <v>-3.8610038610038611E-3</v>
      </c>
      <c r="J110" s="13">
        <f t="shared" si="50"/>
        <v>0.99613899613899615</v>
      </c>
      <c r="K110" s="1" t="s">
        <v>85</v>
      </c>
    </row>
    <row r="111" spans="1:11" ht="15" customHeight="1" x14ac:dyDescent="0.3">
      <c r="A111" s="1" t="s">
        <v>61</v>
      </c>
      <c r="B111" s="1" t="s">
        <v>58</v>
      </c>
      <c r="D111" s="1">
        <v>826</v>
      </c>
      <c r="E111" s="1">
        <v>814</v>
      </c>
      <c r="F111" s="12">
        <f t="shared" si="44"/>
        <v>820</v>
      </c>
      <c r="G111" s="1">
        <f t="shared" si="48"/>
        <v>12</v>
      </c>
      <c r="H111" s="13">
        <f t="shared" si="49"/>
        <v>1.4742014742014743E-2</v>
      </c>
      <c r="J111" s="13">
        <f t="shared" si="50"/>
        <v>1.0147420147420148</v>
      </c>
      <c r="K111" s="1" t="s">
        <v>85</v>
      </c>
    </row>
    <row r="112" spans="1:11" ht="15" customHeight="1" x14ac:dyDescent="0.3">
      <c r="A112" s="1" t="s">
        <v>62</v>
      </c>
      <c r="B112" s="1" t="s">
        <v>58</v>
      </c>
      <c r="D112" s="1">
        <v>997</v>
      </c>
      <c r="E112" s="1">
        <v>990</v>
      </c>
      <c r="F112" s="12">
        <f t="shared" si="44"/>
        <v>993.5</v>
      </c>
      <c r="G112" s="1">
        <f t="shared" si="48"/>
        <v>7</v>
      </c>
      <c r="H112" s="13">
        <f t="shared" si="49"/>
        <v>7.0707070707070711E-3</v>
      </c>
      <c r="J112" s="13">
        <f t="shared" si="50"/>
        <v>1.007070707070707</v>
      </c>
      <c r="K112" s="1" t="s">
        <v>85</v>
      </c>
    </row>
    <row r="113" spans="1:11" ht="15" customHeight="1" x14ac:dyDescent="0.3">
      <c r="A113" s="1" t="s">
        <v>63</v>
      </c>
      <c r="B113" s="1" t="s">
        <v>58</v>
      </c>
      <c r="D113" s="1">
        <v>991</v>
      </c>
      <c r="E113" s="1">
        <v>999</v>
      </c>
      <c r="F113" s="12">
        <f t="shared" si="44"/>
        <v>995</v>
      </c>
      <c r="G113" s="1">
        <f t="shared" si="48"/>
        <v>-8</v>
      </c>
      <c r="H113" s="13">
        <f t="shared" si="49"/>
        <v>-8.0080080080080079E-3</v>
      </c>
      <c r="J113" s="13">
        <f t="shared" si="50"/>
        <v>0.99199199199199195</v>
      </c>
      <c r="K113" s="1" t="s">
        <v>85</v>
      </c>
    </row>
    <row r="114" spans="1:11" ht="15" customHeight="1" x14ac:dyDescent="0.3">
      <c r="A114" s="1" t="s">
        <v>64</v>
      </c>
      <c r="B114" s="1" t="s">
        <v>58</v>
      </c>
      <c r="D114" s="1">
        <v>676</v>
      </c>
      <c r="E114" s="1">
        <v>697</v>
      </c>
      <c r="F114" s="12">
        <f t="shared" si="44"/>
        <v>686.5</v>
      </c>
      <c r="G114" s="1">
        <f t="shared" si="48"/>
        <v>-21</v>
      </c>
      <c r="H114" s="13">
        <f t="shared" si="49"/>
        <v>-3.0129124820659971E-2</v>
      </c>
      <c r="J114" s="13">
        <f t="shared" si="50"/>
        <v>0.96987087517934001</v>
      </c>
      <c r="K114" s="1" t="s">
        <v>85</v>
      </c>
    </row>
    <row r="115" spans="1:11" ht="15" customHeight="1" x14ac:dyDescent="0.3">
      <c r="A115" s="1" t="s">
        <v>65</v>
      </c>
      <c r="B115" s="1" t="s">
        <v>58</v>
      </c>
      <c r="D115" s="1">
        <v>834</v>
      </c>
      <c r="E115" s="1">
        <v>839</v>
      </c>
      <c r="F115" s="12">
        <f t="shared" si="44"/>
        <v>836.5</v>
      </c>
      <c r="G115" s="1">
        <f t="shared" si="48"/>
        <v>-5</v>
      </c>
      <c r="H115" s="13">
        <f t="shared" si="49"/>
        <v>-5.9594755661501785E-3</v>
      </c>
      <c r="J115" s="13">
        <f t="shared" si="50"/>
        <v>0.99404052443384983</v>
      </c>
      <c r="K115" s="1" t="s">
        <v>85</v>
      </c>
    </row>
    <row r="116" spans="1:11" ht="15" customHeight="1" x14ac:dyDescent="0.3">
      <c r="A116" s="1" t="s">
        <v>66</v>
      </c>
      <c r="D116" s="1">
        <v>596</v>
      </c>
      <c r="E116" s="1">
        <v>603</v>
      </c>
      <c r="F116" s="12">
        <f t="shared" si="44"/>
        <v>599.5</v>
      </c>
      <c r="G116" s="1">
        <f t="shared" si="48"/>
        <v>-7</v>
      </c>
      <c r="H116" s="13">
        <f t="shared" si="49"/>
        <v>-1.1608623548922056E-2</v>
      </c>
      <c r="J116" s="13">
        <f t="shared" si="50"/>
        <v>0.988391376451078</v>
      </c>
      <c r="K116" s="1" t="s">
        <v>85</v>
      </c>
    </row>
    <row r="117" spans="1:11" ht="15" customHeight="1" x14ac:dyDescent="0.3">
      <c r="A117" s="1" t="s">
        <v>67</v>
      </c>
      <c r="D117" s="1">
        <v>693</v>
      </c>
      <c r="E117" s="1">
        <v>681</v>
      </c>
      <c r="F117" s="1">
        <f t="shared" si="44"/>
        <v>687</v>
      </c>
      <c r="G117" s="1">
        <f t="shared" si="48"/>
        <v>12</v>
      </c>
      <c r="H117" s="13">
        <f t="shared" si="49"/>
        <v>1.7621145374449341E-2</v>
      </c>
      <c r="J117" s="13">
        <f t="shared" si="50"/>
        <v>1.0176211453744493</v>
      </c>
      <c r="K117" s="1" t="s">
        <v>85</v>
      </c>
    </row>
    <row r="118" spans="1:11" ht="15" customHeight="1" x14ac:dyDescent="0.3">
      <c r="A118" s="1" t="s">
        <v>68</v>
      </c>
      <c r="D118" s="1">
        <v>1432</v>
      </c>
      <c r="E118" s="1">
        <v>1416</v>
      </c>
      <c r="F118" s="1">
        <f t="shared" si="44"/>
        <v>1424</v>
      </c>
      <c r="G118" s="1">
        <f t="shared" si="48"/>
        <v>16</v>
      </c>
      <c r="H118" s="13">
        <f t="shared" si="49"/>
        <v>1.1299435028248588E-2</v>
      </c>
      <c r="J118" s="13">
        <f t="shared" si="50"/>
        <v>1.0112994350282485</v>
      </c>
      <c r="K118" s="1" t="s">
        <v>85</v>
      </c>
    </row>
    <row r="119" spans="1:11" ht="15" customHeight="1" x14ac:dyDescent="0.3">
      <c r="A119" s="1" t="s">
        <v>69</v>
      </c>
      <c r="D119" s="1">
        <v>569</v>
      </c>
      <c r="E119" s="1">
        <v>593</v>
      </c>
      <c r="F119" s="1">
        <f t="shared" si="44"/>
        <v>581</v>
      </c>
      <c r="G119" s="1">
        <f t="shared" si="48"/>
        <v>-24</v>
      </c>
      <c r="H119" s="13">
        <f t="shared" si="49"/>
        <v>-4.0472175379426642E-2</v>
      </c>
      <c r="J119" s="13">
        <f t="shared" si="50"/>
        <v>0.9595278246205734</v>
      </c>
      <c r="K119" s="1" t="s">
        <v>85</v>
      </c>
    </row>
    <row r="120" spans="1:11" ht="15" customHeight="1" x14ac:dyDescent="0.3">
      <c r="A120" s="1" t="s">
        <v>70</v>
      </c>
      <c r="B120" s="1" t="s">
        <v>71</v>
      </c>
      <c r="D120" s="1">
        <v>685</v>
      </c>
      <c r="E120" s="1">
        <v>686</v>
      </c>
      <c r="F120" s="12">
        <f t="shared" si="44"/>
        <v>685.5</v>
      </c>
      <c r="G120" s="1">
        <f t="shared" si="48"/>
        <v>-1</v>
      </c>
      <c r="H120" s="13">
        <f t="shared" si="49"/>
        <v>-1.4577259475218659E-3</v>
      </c>
      <c r="J120" s="13">
        <f t="shared" si="50"/>
        <v>0.99854227405247808</v>
      </c>
      <c r="K120" s="1" t="s">
        <v>85</v>
      </c>
    </row>
    <row r="121" spans="1:11" ht="15" customHeight="1" x14ac:dyDescent="0.3">
      <c r="A121" s="1" t="s">
        <v>72</v>
      </c>
      <c r="B121" s="1" t="s">
        <v>71</v>
      </c>
      <c r="D121" s="1">
        <v>405</v>
      </c>
      <c r="E121" s="1">
        <v>399</v>
      </c>
      <c r="F121" s="1">
        <f t="shared" si="44"/>
        <v>402</v>
      </c>
      <c r="G121" s="1">
        <f t="shared" si="48"/>
        <v>6</v>
      </c>
      <c r="H121" s="13">
        <f t="shared" si="49"/>
        <v>1.5037593984962405E-2</v>
      </c>
      <c r="J121" s="13">
        <f t="shared" si="50"/>
        <v>1.0150375939849625</v>
      </c>
      <c r="K121" s="1" t="s">
        <v>85</v>
      </c>
    </row>
    <row r="122" spans="1:11" ht="15" customHeight="1" x14ac:dyDescent="0.3">
      <c r="A122" s="1" t="s">
        <v>73</v>
      </c>
      <c r="B122" s="1" t="s">
        <v>71</v>
      </c>
      <c r="D122" s="1">
        <v>610</v>
      </c>
      <c r="E122" s="1">
        <v>601</v>
      </c>
      <c r="F122" s="12">
        <f t="shared" si="44"/>
        <v>605.5</v>
      </c>
      <c r="G122" s="1">
        <f t="shared" si="48"/>
        <v>9</v>
      </c>
      <c r="H122" s="13">
        <f t="shared" si="49"/>
        <v>1.4975041597337771E-2</v>
      </c>
      <c r="J122" s="13">
        <f t="shared" si="50"/>
        <v>1.0149750415973378</v>
      </c>
      <c r="K122" s="1" t="s">
        <v>85</v>
      </c>
    </row>
    <row r="123" spans="1:11" ht="15" customHeight="1" x14ac:dyDescent="0.3">
      <c r="A123" s="1" t="s">
        <v>74</v>
      </c>
      <c r="B123" s="1" t="s">
        <v>71</v>
      </c>
      <c r="D123" s="1">
        <v>763</v>
      </c>
      <c r="E123" s="1">
        <v>698</v>
      </c>
      <c r="F123" s="12">
        <f t="shared" si="44"/>
        <v>730.5</v>
      </c>
      <c r="G123" s="1">
        <f t="shared" si="48"/>
        <v>65</v>
      </c>
      <c r="H123" s="13">
        <f t="shared" si="49"/>
        <v>9.3123209169054436E-2</v>
      </c>
      <c r="J123" s="13">
        <f t="shared" si="50"/>
        <v>1.0931232091690544</v>
      </c>
      <c r="K123" s="1" t="s">
        <v>85</v>
      </c>
    </row>
    <row r="124" spans="1:11" ht="15" customHeight="1" x14ac:dyDescent="0.3">
      <c r="A124" s="1" t="s">
        <v>75</v>
      </c>
      <c r="D124" s="1">
        <v>142</v>
      </c>
      <c r="E124" s="1">
        <v>142</v>
      </c>
      <c r="F124" s="1">
        <f t="shared" si="44"/>
        <v>142</v>
      </c>
      <c r="G124" s="1">
        <f t="shared" si="48"/>
        <v>0</v>
      </c>
      <c r="H124" s="13">
        <f t="shared" si="49"/>
        <v>0</v>
      </c>
      <c r="J124" s="13">
        <f t="shared" si="50"/>
        <v>1</v>
      </c>
      <c r="K124" s="1" t="s">
        <v>85</v>
      </c>
    </row>
    <row r="125" spans="1:11" ht="15" customHeight="1" x14ac:dyDescent="0.3">
      <c r="A125" s="1" t="s">
        <v>76</v>
      </c>
      <c r="D125" s="1">
        <v>402</v>
      </c>
      <c r="E125" s="1">
        <v>420</v>
      </c>
      <c r="F125" s="1">
        <f t="shared" si="44"/>
        <v>411</v>
      </c>
      <c r="G125" s="1">
        <f t="shared" si="48"/>
        <v>-18</v>
      </c>
      <c r="H125" s="13">
        <f t="shared" si="49"/>
        <v>-4.2857142857142858E-2</v>
      </c>
      <c r="J125" s="13">
        <f t="shared" si="50"/>
        <v>0.95714285714285718</v>
      </c>
      <c r="K125" s="1" t="s">
        <v>85</v>
      </c>
    </row>
    <row r="126" spans="1:11" ht="15" customHeight="1" x14ac:dyDescent="0.3">
      <c r="A126" s="1" t="s">
        <v>77</v>
      </c>
      <c r="D126" s="1">
        <v>1929</v>
      </c>
      <c r="E126" s="1">
        <v>1941</v>
      </c>
      <c r="F126" s="12">
        <f t="shared" si="44"/>
        <v>1935</v>
      </c>
      <c r="G126" s="1">
        <f t="shared" si="48"/>
        <v>-12</v>
      </c>
      <c r="H126" s="13">
        <f t="shared" si="49"/>
        <v>-6.1823802163833074E-3</v>
      </c>
      <c r="J126" s="13">
        <f t="shared" si="50"/>
        <v>0.99381761978361671</v>
      </c>
      <c r="K126" s="1" t="s">
        <v>85</v>
      </c>
    </row>
    <row r="127" spans="1:11" ht="15" customHeight="1" x14ac:dyDescent="0.3">
      <c r="A127" s="1" t="s">
        <v>78</v>
      </c>
      <c r="D127" s="1">
        <v>457</v>
      </c>
      <c r="E127" s="1">
        <v>454</v>
      </c>
      <c r="F127" s="12">
        <f t="shared" si="44"/>
        <v>455.5</v>
      </c>
      <c r="G127" s="1">
        <f t="shared" si="48"/>
        <v>3</v>
      </c>
      <c r="H127" s="13">
        <f t="shared" si="49"/>
        <v>6.6079295154185024E-3</v>
      </c>
      <c r="J127" s="13">
        <f t="shared" si="50"/>
        <v>1.0066079295154184</v>
      </c>
      <c r="K127" s="1" t="s">
        <v>85</v>
      </c>
    </row>
    <row r="128" spans="1:11" ht="15" customHeight="1" x14ac:dyDescent="0.3">
      <c r="A128" s="3" t="s">
        <v>79</v>
      </c>
      <c r="D128" s="1">
        <v>1078</v>
      </c>
      <c r="E128" s="1">
        <v>1091</v>
      </c>
      <c r="F128" s="12">
        <f t="shared" si="44"/>
        <v>1084.5</v>
      </c>
      <c r="G128" s="1">
        <f t="shared" si="48"/>
        <v>-13</v>
      </c>
      <c r="H128" s="13">
        <f t="shared" si="49"/>
        <v>-1.1915673693858845E-2</v>
      </c>
      <c r="J128" s="13">
        <f t="shared" si="50"/>
        <v>0.98808432630614118</v>
      </c>
      <c r="K128" s="1" t="s">
        <v>85</v>
      </c>
    </row>
    <row r="129" spans="1:11" ht="15" customHeight="1" x14ac:dyDescent="0.3">
      <c r="A129" s="1" t="s">
        <v>80</v>
      </c>
      <c r="D129" s="1">
        <v>407</v>
      </c>
      <c r="E129" s="1">
        <v>399</v>
      </c>
      <c r="F129" s="12">
        <f t="shared" si="44"/>
        <v>403</v>
      </c>
      <c r="G129" s="1">
        <f t="shared" si="48"/>
        <v>8</v>
      </c>
      <c r="H129" s="13">
        <f t="shared" si="49"/>
        <v>2.0050125313283207E-2</v>
      </c>
      <c r="J129" s="13">
        <f t="shared" si="50"/>
        <v>1.0200501253132832</v>
      </c>
      <c r="K129" s="1" t="s">
        <v>85</v>
      </c>
    </row>
    <row r="130" spans="1:11" ht="15" customHeight="1" x14ac:dyDescent="0.3">
      <c r="A130" s="1" t="s">
        <v>6</v>
      </c>
      <c r="B130" s="2"/>
      <c r="D130" s="1">
        <v>408</v>
      </c>
      <c r="E130" s="1">
        <v>418</v>
      </c>
      <c r="F130" s="12">
        <f t="shared" ref="F130:F218" si="51">(E130+D130)/2</f>
        <v>413</v>
      </c>
      <c r="G130" s="1">
        <f t="shared" ref="G130:G218" si="52">D130-E130</f>
        <v>-10</v>
      </c>
      <c r="H130" s="13">
        <f t="shared" ref="H130:H196" si="53">G130/E130</f>
        <v>-2.3923444976076555E-2</v>
      </c>
      <c r="J130" s="13">
        <f t="shared" si="50"/>
        <v>0.97607655502392343</v>
      </c>
      <c r="K130" s="1" t="s">
        <v>87</v>
      </c>
    </row>
    <row r="131" spans="1:11" ht="15" customHeight="1" x14ac:dyDescent="0.3">
      <c r="A131" s="1" t="s">
        <v>7</v>
      </c>
      <c r="D131" s="1">
        <v>916</v>
      </c>
      <c r="E131" s="1">
        <v>925</v>
      </c>
      <c r="F131" s="12">
        <f t="shared" si="51"/>
        <v>920.5</v>
      </c>
      <c r="G131" s="1">
        <f t="shared" si="52"/>
        <v>-9</v>
      </c>
      <c r="H131" s="13">
        <f t="shared" si="53"/>
        <v>-9.7297297297297292E-3</v>
      </c>
      <c r="J131" s="13">
        <f t="shared" si="50"/>
        <v>0.99027027027027026</v>
      </c>
      <c r="K131" s="1" t="s">
        <v>87</v>
      </c>
    </row>
    <row r="132" spans="1:11" ht="15" customHeight="1" x14ac:dyDescent="0.3">
      <c r="A132" s="1" t="s">
        <v>8</v>
      </c>
      <c r="B132" s="1" t="s">
        <v>9</v>
      </c>
      <c r="D132" s="1">
        <v>826</v>
      </c>
      <c r="E132" s="1">
        <v>824</v>
      </c>
      <c r="F132" s="12">
        <f t="shared" si="51"/>
        <v>825</v>
      </c>
      <c r="G132" s="1">
        <f t="shared" si="52"/>
        <v>2</v>
      </c>
      <c r="H132" s="13">
        <f t="shared" si="53"/>
        <v>2.4271844660194173E-3</v>
      </c>
      <c r="J132" s="13">
        <f t="shared" si="50"/>
        <v>1.0024271844660195</v>
      </c>
      <c r="K132" s="1" t="s">
        <v>87</v>
      </c>
    </row>
    <row r="133" spans="1:11" ht="15" customHeight="1" x14ac:dyDescent="0.3">
      <c r="A133" s="1" t="s">
        <v>83</v>
      </c>
      <c r="B133" s="1" t="s">
        <v>9</v>
      </c>
      <c r="D133" s="1">
        <v>596</v>
      </c>
      <c r="E133" s="1">
        <v>472</v>
      </c>
      <c r="F133" s="12">
        <f t="shared" si="51"/>
        <v>534</v>
      </c>
      <c r="G133" s="1">
        <f t="shared" si="52"/>
        <v>124</v>
      </c>
      <c r="H133" s="13">
        <f t="shared" si="53"/>
        <v>0.26271186440677968</v>
      </c>
      <c r="J133" s="13">
        <f t="shared" si="50"/>
        <v>1.2627118644067796</v>
      </c>
      <c r="K133" s="1" t="s">
        <v>87</v>
      </c>
    </row>
    <row r="134" spans="1:11" ht="15" customHeight="1" x14ac:dyDescent="0.3">
      <c r="A134" s="1" t="s">
        <v>10</v>
      </c>
      <c r="D134" s="1">
        <v>716</v>
      </c>
      <c r="E134" s="1">
        <v>719</v>
      </c>
      <c r="F134" s="12">
        <f t="shared" si="51"/>
        <v>717.5</v>
      </c>
      <c r="G134" s="1">
        <f t="shared" si="52"/>
        <v>-3</v>
      </c>
      <c r="H134" s="13">
        <f t="shared" si="53"/>
        <v>-4.172461752433936E-3</v>
      </c>
      <c r="J134" s="13">
        <f t="shared" si="50"/>
        <v>0.99582753824756609</v>
      </c>
      <c r="K134" s="1" t="s">
        <v>87</v>
      </c>
    </row>
    <row r="135" spans="1:11" ht="15" customHeight="1" x14ac:dyDescent="0.3">
      <c r="A135" s="1" t="s">
        <v>11</v>
      </c>
      <c r="D135" s="1">
        <v>1049</v>
      </c>
      <c r="E135" s="1">
        <v>1056</v>
      </c>
      <c r="F135" s="12">
        <f t="shared" si="51"/>
        <v>1052.5</v>
      </c>
      <c r="G135" s="1">
        <f t="shared" si="52"/>
        <v>-7</v>
      </c>
      <c r="H135" s="13">
        <f t="shared" si="53"/>
        <v>-6.628787878787879E-3</v>
      </c>
      <c r="J135" s="13">
        <f t="shared" si="50"/>
        <v>0.99337121212121215</v>
      </c>
      <c r="K135" s="1" t="s">
        <v>87</v>
      </c>
    </row>
    <row r="136" spans="1:11" ht="15" customHeight="1" x14ac:dyDescent="0.3">
      <c r="A136" s="1" t="s">
        <v>12</v>
      </c>
      <c r="D136" s="1">
        <v>957</v>
      </c>
      <c r="E136" s="1">
        <v>940</v>
      </c>
      <c r="F136" s="12">
        <f t="shared" si="51"/>
        <v>948.5</v>
      </c>
      <c r="G136" s="1">
        <f t="shared" si="52"/>
        <v>17</v>
      </c>
      <c r="H136" s="13">
        <f t="shared" si="53"/>
        <v>1.8085106382978722E-2</v>
      </c>
      <c r="J136" s="13">
        <f t="shared" si="50"/>
        <v>1.0180851063829788</v>
      </c>
      <c r="K136" s="1" t="s">
        <v>87</v>
      </c>
    </row>
    <row r="137" spans="1:11" ht="15" customHeight="1" x14ac:dyDescent="0.3">
      <c r="A137" s="1" t="s">
        <v>13</v>
      </c>
      <c r="B137" s="1" t="s">
        <v>14</v>
      </c>
      <c r="D137" s="1">
        <v>205</v>
      </c>
      <c r="E137" s="1">
        <v>204</v>
      </c>
      <c r="F137" s="12">
        <f t="shared" si="51"/>
        <v>204.5</v>
      </c>
      <c r="G137" s="1">
        <f t="shared" si="52"/>
        <v>1</v>
      </c>
      <c r="H137" s="13">
        <f t="shared" si="53"/>
        <v>4.9019607843137254E-3</v>
      </c>
      <c r="J137" s="13">
        <f t="shared" si="50"/>
        <v>1.0049019607843137</v>
      </c>
      <c r="K137" s="1" t="s">
        <v>87</v>
      </c>
    </row>
    <row r="138" spans="1:11" ht="15" customHeight="1" x14ac:dyDescent="0.3">
      <c r="A138" s="1" t="s">
        <v>15</v>
      </c>
      <c r="B138" s="1" t="s">
        <v>14</v>
      </c>
      <c r="D138" s="1">
        <v>540</v>
      </c>
      <c r="E138" s="1">
        <v>523</v>
      </c>
      <c r="F138" s="12">
        <f t="shared" si="51"/>
        <v>531.5</v>
      </c>
      <c r="G138" s="1">
        <f t="shared" si="52"/>
        <v>17</v>
      </c>
      <c r="H138" s="13">
        <f t="shared" si="53"/>
        <v>3.2504780114722756E-2</v>
      </c>
      <c r="J138" s="13">
        <f t="shared" si="50"/>
        <v>1.0325047801147227</v>
      </c>
      <c r="K138" s="1" t="s">
        <v>87</v>
      </c>
    </row>
    <row r="139" spans="1:11" ht="15" customHeight="1" x14ac:dyDescent="0.3">
      <c r="A139" s="1" t="s">
        <v>16</v>
      </c>
      <c r="B139" s="1" t="s">
        <v>17</v>
      </c>
      <c r="D139" s="1">
        <v>641</v>
      </c>
      <c r="E139" s="1">
        <v>654</v>
      </c>
      <c r="F139" s="12">
        <f t="shared" si="51"/>
        <v>647.5</v>
      </c>
      <c r="G139" s="1">
        <f t="shared" si="52"/>
        <v>-13</v>
      </c>
      <c r="H139" s="13">
        <f t="shared" si="53"/>
        <v>-1.9877675840978593E-2</v>
      </c>
      <c r="J139" s="13">
        <f t="shared" si="50"/>
        <v>0.98012232415902145</v>
      </c>
      <c r="K139" s="1" t="s">
        <v>87</v>
      </c>
    </row>
    <row r="140" spans="1:11" ht="15" customHeight="1" x14ac:dyDescent="0.3">
      <c r="A140" s="1" t="s">
        <v>18</v>
      </c>
      <c r="B140" s="1" t="s">
        <v>17</v>
      </c>
      <c r="D140" s="1">
        <v>741</v>
      </c>
      <c r="E140" s="1">
        <v>767</v>
      </c>
      <c r="F140" s="12">
        <f t="shared" si="51"/>
        <v>754</v>
      </c>
      <c r="G140" s="1">
        <f t="shared" si="52"/>
        <v>-26</v>
      </c>
      <c r="H140" s="13">
        <f t="shared" si="53"/>
        <v>-3.3898305084745763E-2</v>
      </c>
      <c r="J140" s="13">
        <f t="shared" si="50"/>
        <v>0.96610169491525422</v>
      </c>
      <c r="K140" s="1" t="s">
        <v>87</v>
      </c>
    </row>
    <row r="141" spans="1:11" ht="15" customHeight="1" x14ac:dyDescent="0.3">
      <c r="A141" s="1" t="s">
        <v>19</v>
      </c>
      <c r="B141" s="1" t="s">
        <v>17</v>
      </c>
      <c r="D141" s="1">
        <v>578</v>
      </c>
      <c r="E141" s="1">
        <v>590</v>
      </c>
      <c r="F141" s="12">
        <f t="shared" si="51"/>
        <v>584</v>
      </c>
      <c r="G141" s="1">
        <f t="shared" si="52"/>
        <v>-12</v>
      </c>
      <c r="H141" s="13">
        <f t="shared" si="53"/>
        <v>-2.0338983050847456E-2</v>
      </c>
      <c r="J141" s="13">
        <f t="shared" si="50"/>
        <v>0.97966101694915253</v>
      </c>
      <c r="K141" s="1" t="s">
        <v>87</v>
      </c>
    </row>
    <row r="142" spans="1:11" ht="15" customHeight="1" x14ac:dyDescent="0.3">
      <c r="A142" s="1" t="s">
        <v>20</v>
      </c>
      <c r="B142" s="1" t="s">
        <v>17</v>
      </c>
      <c r="D142" s="1">
        <v>380</v>
      </c>
      <c r="E142" s="1">
        <v>360</v>
      </c>
      <c r="F142" s="12">
        <f t="shared" si="51"/>
        <v>370</v>
      </c>
      <c r="G142" s="1">
        <f t="shared" si="52"/>
        <v>20</v>
      </c>
      <c r="H142" s="13">
        <f t="shared" si="53"/>
        <v>5.5555555555555552E-2</v>
      </c>
      <c r="J142" s="13">
        <f t="shared" si="50"/>
        <v>1.0555555555555556</v>
      </c>
      <c r="K142" s="1" t="s">
        <v>87</v>
      </c>
    </row>
    <row r="143" spans="1:11" ht="15" customHeight="1" x14ac:dyDescent="0.3">
      <c r="A143" s="1" t="s">
        <v>21</v>
      </c>
      <c r="B143" s="1" t="s">
        <v>17</v>
      </c>
      <c r="D143" s="1">
        <v>77</v>
      </c>
      <c r="E143" s="1">
        <v>78</v>
      </c>
      <c r="F143" s="12">
        <f t="shared" si="51"/>
        <v>77.5</v>
      </c>
      <c r="G143" s="1">
        <f t="shared" si="52"/>
        <v>-1</v>
      </c>
      <c r="H143" s="13">
        <f t="shared" si="53"/>
        <v>-1.282051282051282E-2</v>
      </c>
      <c r="J143" s="13">
        <f t="shared" si="50"/>
        <v>0.98717948717948723</v>
      </c>
      <c r="K143" s="1" t="s">
        <v>87</v>
      </c>
    </row>
    <row r="144" spans="1:11" ht="15" customHeight="1" x14ac:dyDescent="0.3">
      <c r="A144" s="1" t="s">
        <v>22</v>
      </c>
      <c r="B144" s="1" t="s">
        <v>23</v>
      </c>
      <c r="D144" s="1">
        <v>809</v>
      </c>
      <c r="E144" s="1">
        <v>809</v>
      </c>
      <c r="F144" s="12">
        <f t="shared" si="51"/>
        <v>809</v>
      </c>
      <c r="G144" s="1">
        <f t="shared" si="52"/>
        <v>0</v>
      </c>
      <c r="H144" s="13">
        <f t="shared" si="53"/>
        <v>0</v>
      </c>
      <c r="J144" s="13">
        <f t="shared" si="50"/>
        <v>1</v>
      </c>
      <c r="K144" s="1" t="s">
        <v>87</v>
      </c>
    </row>
    <row r="145" spans="1:11" ht="15" customHeight="1" x14ac:dyDescent="0.3">
      <c r="A145" s="1" t="s">
        <v>24</v>
      </c>
      <c r="B145" s="1" t="s">
        <v>23</v>
      </c>
      <c r="D145" s="1">
        <v>897</v>
      </c>
      <c r="E145" s="1">
        <v>888</v>
      </c>
      <c r="F145" s="12">
        <f t="shared" si="51"/>
        <v>892.5</v>
      </c>
      <c r="G145" s="1">
        <f t="shared" si="52"/>
        <v>9</v>
      </c>
      <c r="H145" s="13">
        <f t="shared" si="53"/>
        <v>1.0135135135135136E-2</v>
      </c>
      <c r="J145" s="13">
        <f t="shared" si="50"/>
        <v>1.0101351351351351</v>
      </c>
      <c r="K145" s="1" t="s">
        <v>87</v>
      </c>
    </row>
    <row r="146" spans="1:11" ht="15" customHeight="1" x14ac:dyDescent="0.3">
      <c r="A146" s="1" t="s">
        <v>25</v>
      </c>
      <c r="B146" s="1" t="s">
        <v>23</v>
      </c>
      <c r="D146" s="1">
        <v>858</v>
      </c>
      <c r="E146" s="1">
        <v>848</v>
      </c>
      <c r="F146" s="12">
        <f t="shared" si="51"/>
        <v>853</v>
      </c>
      <c r="G146" s="1">
        <f t="shared" si="52"/>
        <v>10</v>
      </c>
      <c r="H146" s="13">
        <f t="shared" si="53"/>
        <v>1.179245283018868E-2</v>
      </c>
      <c r="J146" s="13">
        <f t="shared" si="50"/>
        <v>1.0117924528301887</v>
      </c>
      <c r="K146" s="1" t="s">
        <v>87</v>
      </c>
    </row>
    <row r="147" spans="1:11" ht="15" customHeight="1" x14ac:dyDescent="0.3">
      <c r="A147" s="1" t="s">
        <v>26</v>
      </c>
      <c r="B147" s="1" t="s">
        <v>27</v>
      </c>
      <c r="D147" s="1">
        <v>816</v>
      </c>
      <c r="E147" s="1">
        <v>804</v>
      </c>
      <c r="F147" s="12">
        <f t="shared" si="51"/>
        <v>810</v>
      </c>
      <c r="G147" s="1">
        <f t="shared" si="52"/>
        <v>12</v>
      </c>
      <c r="H147" s="13">
        <f t="shared" si="53"/>
        <v>1.4925373134328358E-2</v>
      </c>
      <c r="J147" s="13">
        <f t="shared" si="50"/>
        <v>1.0149253731343284</v>
      </c>
      <c r="K147" s="1" t="s">
        <v>87</v>
      </c>
    </row>
    <row r="148" spans="1:11" ht="15" customHeight="1" x14ac:dyDescent="0.3">
      <c r="A148" s="1" t="s">
        <v>28</v>
      </c>
      <c r="B148" s="1" t="s">
        <v>29</v>
      </c>
      <c r="D148" s="1">
        <v>281</v>
      </c>
      <c r="E148" s="1">
        <v>266</v>
      </c>
      <c r="F148" s="12">
        <f t="shared" si="51"/>
        <v>273.5</v>
      </c>
      <c r="G148" s="1">
        <f t="shared" si="52"/>
        <v>15</v>
      </c>
      <c r="H148" s="13">
        <f t="shared" si="53"/>
        <v>5.6390977443609019E-2</v>
      </c>
      <c r="J148" s="13">
        <f t="shared" si="50"/>
        <v>1.0563909774436091</v>
      </c>
      <c r="K148" s="1" t="s">
        <v>87</v>
      </c>
    </row>
    <row r="149" spans="1:11" ht="15" customHeight="1" x14ac:dyDescent="0.3">
      <c r="A149" s="6" t="s">
        <v>30</v>
      </c>
      <c r="B149" s="1" t="s">
        <v>29</v>
      </c>
      <c r="D149" s="1">
        <v>374</v>
      </c>
      <c r="E149" s="1">
        <v>381</v>
      </c>
      <c r="F149" s="12">
        <f t="shared" si="51"/>
        <v>377.5</v>
      </c>
      <c r="G149" s="1">
        <f t="shared" si="52"/>
        <v>-7</v>
      </c>
      <c r="H149" s="13">
        <f t="shared" si="53"/>
        <v>-1.8372703412073491E-2</v>
      </c>
      <c r="J149" s="13">
        <f t="shared" si="50"/>
        <v>0.98162729658792647</v>
      </c>
      <c r="K149" s="1" t="s">
        <v>87</v>
      </c>
    </row>
    <row r="150" spans="1:11" ht="15" customHeight="1" x14ac:dyDescent="0.35">
      <c r="A150" s="5" t="s">
        <v>31</v>
      </c>
      <c r="B150" s="1" t="s">
        <v>29</v>
      </c>
      <c r="D150" s="1">
        <v>368</v>
      </c>
      <c r="E150" s="1">
        <v>366</v>
      </c>
      <c r="F150" s="12">
        <f t="shared" si="51"/>
        <v>367</v>
      </c>
      <c r="G150" s="1">
        <f t="shared" si="52"/>
        <v>2</v>
      </c>
      <c r="H150" s="13">
        <f t="shared" si="53"/>
        <v>5.4644808743169399E-3</v>
      </c>
      <c r="J150" s="13">
        <f t="shared" si="50"/>
        <v>1.0054644808743169</v>
      </c>
      <c r="K150" s="1" t="s">
        <v>87</v>
      </c>
    </row>
    <row r="151" spans="1:11" ht="15" customHeight="1" x14ac:dyDescent="0.4">
      <c r="A151" s="4" t="s">
        <v>32</v>
      </c>
      <c r="B151" s="1" t="s">
        <v>29</v>
      </c>
      <c r="D151" s="1">
        <v>412</v>
      </c>
      <c r="E151" s="1">
        <v>422</v>
      </c>
      <c r="F151" s="12">
        <f t="shared" si="51"/>
        <v>417</v>
      </c>
      <c r="G151" s="1">
        <f t="shared" si="52"/>
        <v>-10</v>
      </c>
      <c r="H151" s="13">
        <f t="shared" si="53"/>
        <v>-2.3696682464454975E-2</v>
      </c>
      <c r="J151" s="13">
        <f t="shared" si="50"/>
        <v>0.976303317535545</v>
      </c>
      <c r="K151" s="1" t="s">
        <v>87</v>
      </c>
    </row>
    <row r="152" spans="1:11" ht="15" customHeight="1" x14ac:dyDescent="0.3">
      <c r="A152" s="1" t="s">
        <v>33</v>
      </c>
      <c r="D152" s="1">
        <v>394</v>
      </c>
      <c r="E152" s="1">
        <v>396</v>
      </c>
      <c r="F152" s="12">
        <f t="shared" si="51"/>
        <v>395</v>
      </c>
      <c r="G152" s="1">
        <f t="shared" si="52"/>
        <v>-2</v>
      </c>
      <c r="H152" s="13">
        <f t="shared" si="53"/>
        <v>-5.0505050505050509E-3</v>
      </c>
      <c r="J152" s="13">
        <f t="shared" si="50"/>
        <v>0.99494949494949492</v>
      </c>
      <c r="K152" s="1" t="s">
        <v>87</v>
      </c>
    </row>
    <row r="153" spans="1:11" ht="15" customHeight="1" x14ac:dyDescent="0.3">
      <c r="A153" s="1" t="s">
        <v>34</v>
      </c>
      <c r="B153" s="1" t="s">
        <v>34</v>
      </c>
      <c r="D153" s="1">
        <v>168</v>
      </c>
      <c r="E153" s="1">
        <v>155</v>
      </c>
      <c r="F153" s="12">
        <f t="shared" si="51"/>
        <v>161.5</v>
      </c>
      <c r="G153" s="1">
        <f t="shared" si="52"/>
        <v>13</v>
      </c>
      <c r="H153" s="13">
        <f t="shared" si="53"/>
        <v>8.387096774193549E-2</v>
      </c>
      <c r="J153" s="13">
        <f t="shared" si="50"/>
        <v>1.0838709677419356</v>
      </c>
      <c r="K153" s="1" t="s">
        <v>87</v>
      </c>
    </row>
    <row r="154" spans="1:11" ht="15" customHeight="1" x14ac:dyDescent="0.3">
      <c r="A154" s="1" t="s">
        <v>35</v>
      </c>
      <c r="B154" s="1" t="s">
        <v>36</v>
      </c>
      <c r="D154" s="1">
        <v>182</v>
      </c>
      <c r="E154" s="1">
        <v>203</v>
      </c>
      <c r="F154" s="12">
        <f t="shared" si="51"/>
        <v>192.5</v>
      </c>
      <c r="G154" s="1">
        <f t="shared" si="52"/>
        <v>-21</v>
      </c>
      <c r="H154" s="13">
        <f t="shared" si="53"/>
        <v>-0.10344827586206896</v>
      </c>
      <c r="J154" s="13">
        <f t="shared" si="50"/>
        <v>0.89655172413793105</v>
      </c>
      <c r="K154" s="1" t="s">
        <v>87</v>
      </c>
    </row>
    <row r="155" spans="1:11" ht="15" customHeight="1" x14ac:dyDescent="0.3">
      <c r="A155" s="1" t="s">
        <v>37</v>
      </c>
      <c r="B155" s="1" t="s">
        <v>36</v>
      </c>
      <c r="D155" s="1">
        <v>135</v>
      </c>
      <c r="E155" s="1">
        <v>120</v>
      </c>
      <c r="F155" s="12">
        <f t="shared" si="51"/>
        <v>127.5</v>
      </c>
      <c r="G155" s="1">
        <f t="shared" si="52"/>
        <v>15</v>
      </c>
      <c r="H155" s="13">
        <f t="shared" si="53"/>
        <v>0.125</v>
      </c>
      <c r="J155" s="13">
        <f t="shared" si="50"/>
        <v>1.125</v>
      </c>
      <c r="K155" s="1" t="s">
        <v>87</v>
      </c>
    </row>
    <row r="156" spans="1:11" ht="15" customHeight="1" x14ac:dyDescent="0.3">
      <c r="A156" s="1" t="s">
        <v>38</v>
      </c>
      <c r="B156" s="1" t="s">
        <v>38</v>
      </c>
      <c r="D156" s="1">
        <v>457</v>
      </c>
      <c r="E156" s="1">
        <v>444</v>
      </c>
      <c r="F156" s="12">
        <f t="shared" si="51"/>
        <v>450.5</v>
      </c>
      <c r="G156" s="1">
        <f t="shared" si="52"/>
        <v>13</v>
      </c>
      <c r="H156" s="13">
        <f t="shared" si="53"/>
        <v>2.9279279279279279E-2</v>
      </c>
      <c r="J156" s="13">
        <f t="shared" si="50"/>
        <v>1.0292792792792793</v>
      </c>
      <c r="K156" s="1" t="s">
        <v>87</v>
      </c>
    </row>
    <row r="157" spans="1:11" ht="15" customHeight="1" x14ac:dyDescent="0.3">
      <c r="A157" s="1" t="s">
        <v>39</v>
      </c>
      <c r="B157" s="1" t="s">
        <v>40</v>
      </c>
      <c r="D157" s="1">
        <v>765</v>
      </c>
      <c r="E157" s="1">
        <v>756</v>
      </c>
      <c r="F157" s="12">
        <f t="shared" si="51"/>
        <v>760.5</v>
      </c>
      <c r="G157" s="1">
        <f t="shared" si="52"/>
        <v>9</v>
      </c>
      <c r="H157" s="13">
        <f t="shared" si="53"/>
        <v>1.1904761904761904E-2</v>
      </c>
      <c r="J157" s="13">
        <f t="shared" si="50"/>
        <v>1.0119047619047619</v>
      </c>
      <c r="K157" s="1" t="s">
        <v>87</v>
      </c>
    </row>
    <row r="158" spans="1:11" ht="15" customHeight="1" x14ac:dyDescent="0.3">
      <c r="A158" s="1" t="s">
        <v>41</v>
      </c>
      <c r="B158" s="1" t="s">
        <v>40</v>
      </c>
      <c r="D158" s="1">
        <v>785</v>
      </c>
      <c r="E158" s="1">
        <v>787</v>
      </c>
      <c r="F158" s="12">
        <f t="shared" si="51"/>
        <v>786</v>
      </c>
      <c r="G158" s="1">
        <f t="shared" si="52"/>
        <v>-2</v>
      </c>
      <c r="H158" s="13">
        <f t="shared" si="53"/>
        <v>-2.5412960609911056E-3</v>
      </c>
      <c r="J158" s="13">
        <f t="shared" si="50"/>
        <v>0.99745870393900893</v>
      </c>
      <c r="K158" s="1" t="s">
        <v>87</v>
      </c>
    </row>
    <row r="159" spans="1:11" ht="15" customHeight="1" x14ac:dyDescent="0.3">
      <c r="A159" s="1" t="s">
        <v>42</v>
      </c>
      <c r="B159" s="1" t="s">
        <v>40</v>
      </c>
      <c r="D159" s="1">
        <v>552</v>
      </c>
      <c r="E159" s="1">
        <v>531</v>
      </c>
      <c r="F159" s="12">
        <f t="shared" si="51"/>
        <v>541.5</v>
      </c>
      <c r="G159" s="1">
        <f t="shared" si="52"/>
        <v>21</v>
      </c>
      <c r="H159" s="13">
        <f t="shared" si="53"/>
        <v>3.954802259887006E-2</v>
      </c>
      <c r="J159" s="13">
        <f t="shared" si="50"/>
        <v>1.03954802259887</v>
      </c>
      <c r="K159" s="1" t="s">
        <v>87</v>
      </c>
    </row>
    <row r="160" spans="1:11" ht="15" customHeight="1" x14ac:dyDescent="0.3">
      <c r="A160" s="1" t="s">
        <v>43</v>
      </c>
      <c r="B160" s="1" t="s">
        <v>40</v>
      </c>
      <c r="D160" s="1">
        <v>806</v>
      </c>
      <c r="E160" s="1">
        <v>767</v>
      </c>
      <c r="F160" s="12">
        <f t="shared" si="51"/>
        <v>786.5</v>
      </c>
      <c r="G160" s="1">
        <f t="shared" si="52"/>
        <v>39</v>
      </c>
      <c r="H160" s="13">
        <f t="shared" si="53"/>
        <v>5.0847457627118647E-2</v>
      </c>
      <c r="J160" s="13">
        <f t="shared" si="50"/>
        <v>1.0508474576271187</v>
      </c>
      <c r="K160" s="1" t="s">
        <v>87</v>
      </c>
    </row>
    <row r="161" spans="1:11" ht="15" customHeight="1" x14ac:dyDescent="0.3">
      <c r="A161" s="1" t="s">
        <v>44</v>
      </c>
      <c r="D161" s="1">
        <v>753</v>
      </c>
      <c r="E161" s="1">
        <v>738</v>
      </c>
      <c r="F161" s="12">
        <f t="shared" si="51"/>
        <v>745.5</v>
      </c>
      <c r="G161" s="1">
        <f t="shared" si="52"/>
        <v>15</v>
      </c>
      <c r="H161" s="13">
        <f t="shared" si="53"/>
        <v>2.032520325203252E-2</v>
      </c>
      <c r="J161" s="13">
        <f t="shared" si="50"/>
        <v>1.0203252032520325</v>
      </c>
      <c r="K161" s="1" t="s">
        <v>87</v>
      </c>
    </row>
    <row r="162" spans="1:11" ht="15" customHeight="1" x14ac:dyDescent="0.3">
      <c r="A162" s="1" t="s">
        <v>45</v>
      </c>
      <c r="B162" s="1" t="s">
        <v>46</v>
      </c>
      <c r="D162" s="1">
        <v>717</v>
      </c>
      <c r="E162" s="1">
        <v>720</v>
      </c>
      <c r="F162" s="12">
        <f t="shared" si="51"/>
        <v>718.5</v>
      </c>
      <c r="G162" s="1">
        <f t="shared" si="52"/>
        <v>-3</v>
      </c>
      <c r="H162" s="13">
        <f t="shared" si="53"/>
        <v>-4.1666666666666666E-3</v>
      </c>
      <c r="J162" s="13">
        <f t="shared" si="50"/>
        <v>0.99583333333333335</v>
      </c>
      <c r="K162" s="1" t="s">
        <v>87</v>
      </c>
    </row>
    <row r="163" spans="1:11" ht="15" customHeight="1" x14ac:dyDescent="0.3">
      <c r="A163" s="1" t="s">
        <v>47</v>
      </c>
      <c r="B163" s="1" t="s">
        <v>46</v>
      </c>
      <c r="D163" s="1">
        <v>496</v>
      </c>
      <c r="E163" s="1">
        <v>499</v>
      </c>
      <c r="F163" s="12">
        <f t="shared" si="51"/>
        <v>497.5</v>
      </c>
      <c r="G163" s="1">
        <f t="shared" si="52"/>
        <v>-3</v>
      </c>
      <c r="H163" s="13">
        <f t="shared" si="53"/>
        <v>-6.0120240480961923E-3</v>
      </c>
      <c r="J163" s="13">
        <f t="shared" si="50"/>
        <v>0.9939879759519038</v>
      </c>
      <c r="K163" s="1" t="s">
        <v>87</v>
      </c>
    </row>
    <row r="164" spans="1:11" ht="15" customHeight="1" x14ac:dyDescent="0.3">
      <c r="A164" s="1" t="s">
        <v>48</v>
      </c>
      <c r="B164" s="1" t="s">
        <v>46</v>
      </c>
      <c r="D164" s="1">
        <v>500</v>
      </c>
      <c r="E164" s="1">
        <v>504</v>
      </c>
      <c r="F164" s="12">
        <f t="shared" si="51"/>
        <v>502</v>
      </c>
      <c r="G164" s="1">
        <f t="shared" si="52"/>
        <v>-4</v>
      </c>
      <c r="H164" s="13">
        <f t="shared" si="53"/>
        <v>-7.9365079365079361E-3</v>
      </c>
      <c r="J164" s="13">
        <f t="shared" si="50"/>
        <v>0.99206349206349209</v>
      </c>
      <c r="K164" s="1" t="s">
        <v>87</v>
      </c>
    </row>
    <row r="165" spans="1:11" ht="15" customHeight="1" x14ac:dyDescent="0.3">
      <c r="A165" s="1" t="s">
        <v>49</v>
      </c>
      <c r="B165" s="1" t="s">
        <v>50</v>
      </c>
      <c r="D165" s="1">
        <v>730</v>
      </c>
      <c r="E165" s="1">
        <v>734</v>
      </c>
      <c r="F165" s="12">
        <f t="shared" si="51"/>
        <v>732</v>
      </c>
      <c r="G165" s="1">
        <f t="shared" si="52"/>
        <v>-4</v>
      </c>
      <c r="H165" s="13">
        <f t="shared" si="53"/>
        <v>-5.4495912806539508E-3</v>
      </c>
      <c r="J165" s="13">
        <f t="shared" si="50"/>
        <v>0.99455040871934608</v>
      </c>
      <c r="K165" s="1" t="s">
        <v>87</v>
      </c>
    </row>
    <row r="166" spans="1:11" ht="15" customHeight="1" x14ac:dyDescent="0.3">
      <c r="A166" s="1" t="s">
        <v>51</v>
      </c>
      <c r="B166" s="1" t="s">
        <v>50</v>
      </c>
      <c r="D166" s="1">
        <v>610</v>
      </c>
      <c r="E166" s="1">
        <v>614</v>
      </c>
      <c r="F166" s="12">
        <f t="shared" si="51"/>
        <v>612</v>
      </c>
      <c r="G166" s="1">
        <f t="shared" si="52"/>
        <v>-4</v>
      </c>
      <c r="H166" s="13">
        <f t="shared" si="53"/>
        <v>-6.5146579804560263E-3</v>
      </c>
      <c r="J166" s="13">
        <f t="shared" si="50"/>
        <v>0.99348534201954397</v>
      </c>
      <c r="K166" s="1" t="s">
        <v>87</v>
      </c>
    </row>
    <row r="167" spans="1:11" ht="15" customHeight="1" x14ac:dyDescent="0.3">
      <c r="A167" s="1" t="s">
        <v>52</v>
      </c>
      <c r="B167" s="1" t="s">
        <v>50</v>
      </c>
      <c r="D167" s="1">
        <v>617</v>
      </c>
      <c r="E167" s="1">
        <v>645</v>
      </c>
      <c r="F167" s="12">
        <f t="shared" si="51"/>
        <v>631</v>
      </c>
      <c r="G167" s="1">
        <f t="shared" si="52"/>
        <v>-28</v>
      </c>
      <c r="H167" s="13">
        <f t="shared" si="53"/>
        <v>-4.3410852713178294E-2</v>
      </c>
      <c r="J167" s="13">
        <f t="shared" si="50"/>
        <v>0.95658914728682165</v>
      </c>
      <c r="K167" s="1" t="s">
        <v>87</v>
      </c>
    </row>
    <row r="168" spans="1:11" ht="15" customHeight="1" x14ac:dyDescent="0.3">
      <c r="A168" s="1" t="s">
        <v>53</v>
      </c>
      <c r="B168" s="1" t="s">
        <v>50</v>
      </c>
      <c r="D168" s="1">
        <v>1107</v>
      </c>
      <c r="E168" s="1">
        <v>1118</v>
      </c>
      <c r="F168" s="12">
        <f t="shared" si="51"/>
        <v>1112.5</v>
      </c>
      <c r="G168" s="1">
        <f t="shared" si="52"/>
        <v>-11</v>
      </c>
      <c r="H168" s="13">
        <f t="shared" si="53"/>
        <v>-9.8389982110912346E-3</v>
      </c>
      <c r="J168" s="13">
        <f t="shared" si="50"/>
        <v>0.99016100178890876</v>
      </c>
      <c r="K168" s="1" t="s">
        <v>87</v>
      </c>
    </row>
    <row r="169" spans="1:11" ht="15" customHeight="1" x14ac:dyDescent="0.3">
      <c r="A169" s="1" t="s">
        <v>54</v>
      </c>
      <c r="B169" s="1" t="s">
        <v>50</v>
      </c>
      <c r="D169" s="1">
        <v>692</v>
      </c>
      <c r="E169" s="1">
        <v>718</v>
      </c>
      <c r="F169" s="12">
        <f t="shared" si="51"/>
        <v>705</v>
      </c>
      <c r="G169" s="1">
        <f t="shared" si="52"/>
        <v>-26</v>
      </c>
      <c r="H169" s="13">
        <f t="shared" si="53"/>
        <v>-3.6211699164345405E-2</v>
      </c>
      <c r="J169" s="13">
        <f t="shared" si="50"/>
        <v>0.96378830083565459</v>
      </c>
      <c r="K169" s="1" t="s">
        <v>87</v>
      </c>
    </row>
    <row r="170" spans="1:11" ht="15" customHeight="1" x14ac:dyDescent="0.3">
      <c r="A170" s="1" t="s">
        <v>55</v>
      </c>
      <c r="B170" s="1" t="s">
        <v>50</v>
      </c>
      <c r="D170" s="1">
        <v>611</v>
      </c>
      <c r="E170" s="1">
        <v>613</v>
      </c>
      <c r="F170" s="12">
        <f t="shared" si="51"/>
        <v>612</v>
      </c>
      <c r="G170" s="1">
        <f t="shared" si="52"/>
        <v>-2</v>
      </c>
      <c r="H170" s="13">
        <f t="shared" si="53"/>
        <v>-3.2626427406199023E-3</v>
      </c>
      <c r="J170" s="13">
        <f t="shared" si="50"/>
        <v>0.99673735725938006</v>
      </c>
      <c r="K170" s="1" t="s">
        <v>87</v>
      </c>
    </row>
    <row r="171" spans="1:11" ht="15" customHeight="1" x14ac:dyDescent="0.3">
      <c r="A171" s="1" t="s">
        <v>56</v>
      </c>
      <c r="B171" s="1" t="s">
        <v>50</v>
      </c>
      <c r="D171" s="1">
        <v>837</v>
      </c>
      <c r="E171" s="1">
        <v>846</v>
      </c>
      <c r="F171" s="12">
        <f t="shared" si="51"/>
        <v>841.5</v>
      </c>
      <c r="G171" s="1">
        <f t="shared" si="52"/>
        <v>-9</v>
      </c>
      <c r="H171" s="13">
        <f t="shared" si="53"/>
        <v>-1.0638297872340425E-2</v>
      </c>
      <c r="J171" s="13">
        <f t="shared" si="50"/>
        <v>0.98936170212765961</v>
      </c>
      <c r="K171" s="1" t="s">
        <v>87</v>
      </c>
    </row>
    <row r="172" spans="1:11" ht="15" customHeight="1" x14ac:dyDescent="0.3">
      <c r="A172" s="1" t="s">
        <v>57</v>
      </c>
      <c r="B172" s="1" t="s">
        <v>58</v>
      </c>
      <c r="D172" s="1">
        <v>629</v>
      </c>
      <c r="E172" s="1">
        <v>648</v>
      </c>
      <c r="F172" s="12">
        <f t="shared" si="51"/>
        <v>638.5</v>
      </c>
      <c r="G172" s="1">
        <f t="shared" si="52"/>
        <v>-19</v>
      </c>
      <c r="H172" s="13">
        <f t="shared" si="53"/>
        <v>-2.9320987654320986E-2</v>
      </c>
      <c r="J172" s="13">
        <f t="shared" ref="J172:J196" si="54">D172/E172</f>
        <v>0.97067901234567899</v>
      </c>
      <c r="K172" s="1" t="s">
        <v>87</v>
      </c>
    </row>
    <row r="173" spans="1:11" ht="15" customHeight="1" x14ac:dyDescent="0.3">
      <c r="A173" s="1" t="s">
        <v>59</v>
      </c>
      <c r="B173" s="1" t="s">
        <v>58</v>
      </c>
      <c r="D173" s="1">
        <v>736</v>
      </c>
      <c r="E173" s="1">
        <v>730</v>
      </c>
      <c r="F173" s="12">
        <f t="shared" si="51"/>
        <v>733</v>
      </c>
      <c r="G173" s="1">
        <f t="shared" si="52"/>
        <v>6</v>
      </c>
      <c r="H173" s="13">
        <f t="shared" si="53"/>
        <v>8.21917808219178E-3</v>
      </c>
      <c r="J173" s="13">
        <f t="shared" si="54"/>
        <v>1.0082191780821919</v>
      </c>
      <c r="K173" s="1" t="s">
        <v>87</v>
      </c>
    </row>
    <row r="174" spans="1:11" ht="15" customHeight="1" x14ac:dyDescent="0.3">
      <c r="A174" s="1" t="s">
        <v>60</v>
      </c>
      <c r="B174" s="1" t="s">
        <v>58</v>
      </c>
      <c r="D174" s="1">
        <v>576</v>
      </c>
      <c r="E174" s="1">
        <v>590</v>
      </c>
      <c r="F174" s="12">
        <f t="shared" si="51"/>
        <v>583</v>
      </c>
      <c r="G174" s="1">
        <f t="shared" si="52"/>
        <v>-14</v>
      </c>
      <c r="H174" s="13">
        <f t="shared" si="53"/>
        <v>-2.3728813559322035E-2</v>
      </c>
      <c r="J174" s="13">
        <f t="shared" si="54"/>
        <v>0.97627118644067801</v>
      </c>
      <c r="K174" s="1" t="s">
        <v>87</v>
      </c>
    </row>
    <row r="175" spans="1:11" ht="15" customHeight="1" x14ac:dyDescent="0.3">
      <c r="A175" s="1" t="s">
        <v>61</v>
      </c>
      <c r="B175" s="1" t="s">
        <v>58</v>
      </c>
      <c r="D175" s="1">
        <v>854</v>
      </c>
      <c r="E175" s="1">
        <v>835</v>
      </c>
      <c r="F175" s="12">
        <f t="shared" si="51"/>
        <v>844.5</v>
      </c>
      <c r="G175" s="1">
        <f t="shared" si="52"/>
        <v>19</v>
      </c>
      <c r="H175" s="13">
        <f t="shared" si="53"/>
        <v>2.2754491017964073E-2</v>
      </c>
      <c r="J175" s="13">
        <f t="shared" si="54"/>
        <v>1.022754491017964</v>
      </c>
      <c r="K175" s="1" t="s">
        <v>87</v>
      </c>
    </row>
    <row r="176" spans="1:11" ht="15" customHeight="1" x14ac:dyDescent="0.3">
      <c r="A176" s="1" t="s">
        <v>62</v>
      </c>
      <c r="B176" s="1" t="s">
        <v>58</v>
      </c>
      <c r="D176" s="1">
        <v>955</v>
      </c>
      <c r="E176" s="1">
        <v>948</v>
      </c>
      <c r="F176" s="12">
        <f t="shared" si="51"/>
        <v>951.5</v>
      </c>
      <c r="G176" s="1">
        <f t="shared" si="52"/>
        <v>7</v>
      </c>
      <c r="H176" s="13">
        <f t="shared" si="53"/>
        <v>7.3839662447257384E-3</v>
      </c>
      <c r="J176" s="13">
        <f t="shared" si="54"/>
        <v>1.0073839662447257</v>
      </c>
      <c r="K176" s="1" t="s">
        <v>87</v>
      </c>
    </row>
    <row r="177" spans="1:11" ht="15" customHeight="1" x14ac:dyDescent="0.3">
      <c r="A177" s="1" t="s">
        <v>63</v>
      </c>
      <c r="B177" s="1" t="s">
        <v>58</v>
      </c>
      <c r="D177" s="1">
        <v>979</v>
      </c>
      <c r="E177" s="1">
        <v>989</v>
      </c>
      <c r="F177" s="12">
        <f t="shared" si="51"/>
        <v>984</v>
      </c>
      <c r="G177" s="1">
        <f t="shared" si="52"/>
        <v>-10</v>
      </c>
      <c r="H177" s="13">
        <f t="shared" si="53"/>
        <v>-1.0111223458038422E-2</v>
      </c>
      <c r="J177" s="13">
        <f t="shared" si="54"/>
        <v>0.98988877654196161</v>
      </c>
      <c r="K177" s="1" t="s">
        <v>87</v>
      </c>
    </row>
    <row r="178" spans="1:11" ht="15" customHeight="1" x14ac:dyDescent="0.3">
      <c r="A178" s="1" t="s">
        <v>64</v>
      </c>
      <c r="B178" s="1" t="s">
        <v>58</v>
      </c>
      <c r="D178" s="1">
        <v>575</v>
      </c>
      <c r="E178" s="1">
        <v>599</v>
      </c>
      <c r="F178" s="12">
        <f t="shared" si="51"/>
        <v>587</v>
      </c>
      <c r="G178" s="1">
        <f t="shared" si="52"/>
        <v>-24</v>
      </c>
      <c r="H178" s="13">
        <f t="shared" si="53"/>
        <v>-4.006677796327212E-2</v>
      </c>
      <c r="J178" s="13">
        <f t="shared" si="54"/>
        <v>0.95993322203672793</v>
      </c>
      <c r="K178" s="1" t="s">
        <v>87</v>
      </c>
    </row>
    <row r="179" spans="1:11" ht="15" customHeight="1" x14ac:dyDescent="0.3">
      <c r="A179" s="1" t="s">
        <v>65</v>
      </c>
      <c r="B179" s="1" t="s">
        <v>58</v>
      </c>
      <c r="D179" s="1">
        <v>904</v>
      </c>
      <c r="E179" s="1">
        <v>916</v>
      </c>
      <c r="F179" s="12">
        <f t="shared" si="51"/>
        <v>910</v>
      </c>
      <c r="G179" s="1">
        <f t="shared" si="52"/>
        <v>-12</v>
      </c>
      <c r="H179" s="13">
        <f t="shared" si="53"/>
        <v>-1.3100436681222707E-2</v>
      </c>
      <c r="J179" s="13">
        <f t="shared" si="54"/>
        <v>0.98689956331877726</v>
      </c>
      <c r="K179" s="1" t="s">
        <v>87</v>
      </c>
    </row>
    <row r="180" spans="1:11" ht="15" customHeight="1" x14ac:dyDescent="0.3">
      <c r="A180" s="1" t="s">
        <v>66</v>
      </c>
      <c r="D180" s="1">
        <v>652</v>
      </c>
      <c r="E180" s="1">
        <v>656</v>
      </c>
      <c r="F180" s="12">
        <f t="shared" si="51"/>
        <v>654</v>
      </c>
      <c r="G180" s="1">
        <f t="shared" si="52"/>
        <v>-4</v>
      </c>
      <c r="H180" s="13">
        <f t="shared" si="53"/>
        <v>-6.0975609756097563E-3</v>
      </c>
      <c r="J180" s="13">
        <f t="shared" si="54"/>
        <v>0.99390243902439024</v>
      </c>
      <c r="K180" s="1" t="s">
        <v>87</v>
      </c>
    </row>
    <row r="181" spans="1:11" ht="15" customHeight="1" x14ac:dyDescent="0.3">
      <c r="A181" s="1" t="s">
        <v>67</v>
      </c>
      <c r="D181" s="1">
        <v>709</v>
      </c>
      <c r="E181" s="1">
        <v>702</v>
      </c>
      <c r="F181" s="12">
        <f t="shared" si="51"/>
        <v>705.5</v>
      </c>
      <c r="G181" s="1">
        <f t="shared" si="52"/>
        <v>7</v>
      </c>
      <c r="H181" s="13">
        <f t="shared" si="53"/>
        <v>9.9715099715099714E-3</v>
      </c>
      <c r="J181" s="13">
        <f t="shared" si="54"/>
        <v>1.0099715099715099</v>
      </c>
      <c r="K181" s="1" t="s">
        <v>87</v>
      </c>
    </row>
    <row r="182" spans="1:11" ht="15" customHeight="1" x14ac:dyDescent="0.3">
      <c r="A182" s="1" t="s">
        <v>68</v>
      </c>
      <c r="D182" s="1">
        <v>1447</v>
      </c>
      <c r="E182" s="1">
        <v>1439</v>
      </c>
      <c r="F182" s="12">
        <f t="shared" si="51"/>
        <v>1443</v>
      </c>
      <c r="G182" s="1">
        <f t="shared" si="52"/>
        <v>8</v>
      </c>
      <c r="H182" s="13">
        <f t="shared" si="53"/>
        <v>5.5594162612925642E-3</v>
      </c>
      <c r="J182" s="13">
        <f t="shared" si="54"/>
        <v>1.0055594162612926</v>
      </c>
      <c r="K182" s="1" t="s">
        <v>87</v>
      </c>
    </row>
    <row r="183" spans="1:11" ht="15" customHeight="1" x14ac:dyDescent="0.3">
      <c r="A183" s="1" t="s">
        <v>69</v>
      </c>
      <c r="D183" s="1">
        <v>593</v>
      </c>
      <c r="E183" s="1">
        <v>612</v>
      </c>
      <c r="F183" s="12">
        <f t="shared" si="51"/>
        <v>602.5</v>
      </c>
      <c r="G183" s="1">
        <f t="shared" si="52"/>
        <v>-19</v>
      </c>
      <c r="H183" s="13">
        <f t="shared" si="53"/>
        <v>-3.1045751633986929E-2</v>
      </c>
      <c r="J183" s="13">
        <f t="shared" si="54"/>
        <v>0.96895424836601307</v>
      </c>
      <c r="K183" s="1" t="s">
        <v>87</v>
      </c>
    </row>
    <row r="184" spans="1:11" ht="15" customHeight="1" x14ac:dyDescent="0.3">
      <c r="A184" s="1" t="s">
        <v>70</v>
      </c>
      <c r="B184" s="1" t="s">
        <v>71</v>
      </c>
      <c r="D184" s="1">
        <v>705</v>
      </c>
      <c r="E184" s="1">
        <v>717</v>
      </c>
      <c r="F184" s="12">
        <f t="shared" si="51"/>
        <v>711</v>
      </c>
      <c r="G184" s="1">
        <f t="shared" si="52"/>
        <v>-12</v>
      </c>
      <c r="H184" s="13">
        <f t="shared" si="53"/>
        <v>-1.6736401673640166E-2</v>
      </c>
      <c r="J184" s="13">
        <f t="shared" si="54"/>
        <v>0.98326359832635979</v>
      </c>
      <c r="K184" s="1" t="s">
        <v>87</v>
      </c>
    </row>
    <row r="185" spans="1:11" ht="15" customHeight="1" x14ac:dyDescent="0.3">
      <c r="A185" s="1" t="s">
        <v>72</v>
      </c>
      <c r="B185" s="1" t="s">
        <v>71</v>
      </c>
      <c r="D185" s="1">
        <v>372</v>
      </c>
      <c r="E185" s="1">
        <v>371</v>
      </c>
      <c r="F185" s="12">
        <f t="shared" si="51"/>
        <v>371.5</v>
      </c>
      <c r="G185" s="1">
        <f t="shared" si="52"/>
        <v>1</v>
      </c>
      <c r="H185" s="13">
        <f t="shared" si="53"/>
        <v>2.6954177897574125E-3</v>
      </c>
      <c r="J185" s="13">
        <f t="shared" si="54"/>
        <v>1.0026954177897573</v>
      </c>
      <c r="K185" s="1" t="s">
        <v>87</v>
      </c>
    </row>
    <row r="186" spans="1:11" ht="15" customHeight="1" x14ac:dyDescent="0.3">
      <c r="A186" s="1" t="s">
        <v>73</v>
      </c>
      <c r="B186" s="1" t="s">
        <v>71</v>
      </c>
      <c r="D186" s="1">
        <v>661</v>
      </c>
      <c r="E186" s="1">
        <v>652</v>
      </c>
      <c r="F186" s="12">
        <f t="shared" si="51"/>
        <v>656.5</v>
      </c>
      <c r="G186" s="1">
        <f t="shared" si="52"/>
        <v>9</v>
      </c>
      <c r="H186" s="13">
        <f t="shared" si="53"/>
        <v>1.3803680981595092E-2</v>
      </c>
      <c r="J186" s="13">
        <f t="shared" si="54"/>
        <v>1.0138036809815951</v>
      </c>
      <c r="K186" s="1" t="s">
        <v>87</v>
      </c>
    </row>
    <row r="187" spans="1:11" ht="15" customHeight="1" x14ac:dyDescent="0.3">
      <c r="A187" s="1" t="s">
        <v>74</v>
      </c>
      <c r="B187" s="1" t="s">
        <v>71</v>
      </c>
      <c r="D187" s="1">
        <v>834</v>
      </c>
      <c r="E187" s="1">
        <v>755</v>
      </c>
      <c r="F187" s="12">
        <f t="shared" si="51"/>
        <v>794.5</v>
      </c>
      <c r="G187" s="1">
        <f t="shared" si="52"/>
        <v>79</v>
      </c>
      <c r="H187" s="13">
        <f t="shared" si="53"/>
        <v>0.10463576158940398</v>
      </c>
      <c r="J187" s="13">
        <f t="shared" si="54"/>
        <v>1.104635761589404</v>
      </c>
      <c r="K187" s="1" t="s">
        <v>87</v>
      </c>
    </row>
    <row r="188" spans="1:11" ht="15" customHeight="1" x14ac:dyDescent="0.3">
      <c r="A188" s="1" t="s">
        <v>75</v>
      </c>
      <c r="D188" s="1">
        <v>133</v>
      </c>
      <c r="E188" s="1">
        <v>131</v>
      </c>
      <c r="F188" s="12">
        <f t="shared" si="51"/>
        <v>132</v>
      </c>
      <c r="G188" s="1">
        <f t="shared" si="52"/>
        <v>2</v>
      </c>
      <c r="H188" s="13">
        <f t="shared" si="53"/>
        <v>1.5267175572519083E-2</v>
      </c>
      <c r="J188" s="13">
        <f t="shared" si="54"/>
        <v>1.0152671755725191</v>
      </c>
      <c r="K188" s="1" t="s">
        <v>87</v>
      </c>
    </row>
    <row r="189" spans="1:11" ht="15" customHeight="1" x14ac:dyDescent="0.3">
      <c r="A189" s="1" t="s">
        <v>76</v>
      </c>
      <c r="D189" s="1">
        <v>536</v>
      </c>
      <c r="E189" s="1">
        <v>550</v>
      </c>
      <c r="F189" s="12">
        <f t="shared" si="51"/>
        <v>543</v>
      </c>
      <c r="G189" s="1">
        <f t="shared" si="52"/>
        <v>-14</v>
      </c>
      <c r="H189" s="13">
        <f t="shared" si="53"/>
        <v>-2.5454545454545455E-2</v>
      </c>
      <c r="J189" s="13">
        <f t="shared" si="54"/>
        <v>0.97454545454545449</v>
      </c>
      <c r="K189" s="1" t="s">
        <v>87</v>
      </c>
    </row>
    <row r="190" spans="1:11" ht="15" customHeight="1" x14ac:dyDescent="0.3">
      <c r="A190" s="1" t="s">
        <v>77</v>
      </c>
      <c r="D190" s="1">
        <v>2058</v>
      </c>
      <c r="E190" s="1">
        <v>2068</v>
      </c>
      <c r="F190" s="12">
        <f t="shared" si="51"/>
        <v>2063</v>
      </c>
      <c r="G190" s="1">
        <f t="shared" si="52"/>
        <v>-10</v>
      </c>
      <c r="H190" s="13">
        <f t="shared" si="53"/>
        <v>-4.8355899419729211E-3</v>
      </c>
      <c r="J190" s="13">
        <f t="shared" si="54"/>
        <v>0.99516441005802703</v>
      </c>
      <c r="K190" s="1" t="s">
        <v>87</v>
      </c>
    </row>
    <row r="191" spans="1:11" ht="15" customHeight="1" x14ac:dyDescent="0.3">
      <c r="A191" s="1" t="s">
        <v>78</v>
      </c>
      <c r="D191" s="1">
        <v>450</v>
      </c>
      <c r="E191" s="1">
        <v>442</v>
      </c>
      <c r="F191" s="12">
        <f t="shared" si="51"/>
        <v>446</v>
      </c>
      <c r="G191" s="1">
        <f t="shared" si="52"/>
        <v>8</v>
      </c>
      <c r="H191" s="13">
        <f t="shared" si="53"/>
        <v>1.8099547511312219E-2</v>
      </c>
      <c r="J191" s="13">
        <f t="shared" si="54"/>
        <v>1.0180995475113122</v>
      </c>
      <c r="K191" s="1" t="s">
        <v>87</v>
      </c>
    </row>
    <row r="192" spans="1:11" ht="15" customHeight="1" x14ac:dyDescent="0.3">
      <c r="A192" s="3" t="s">
        <v>79</v>
      </c>
      <c r="D192" s="1">
        <v>1105</v>
      </c>
      <c r="E192" s="1">
        <v>1128</v>
      </c>
      <c r="F192" s="12">
        <f t="shared" si="51"/>
        <v>1116.5</v>
      </c>
      <c r="G192" s="1">
        <f t="shared" si="52"/>
        <v>-23</v>
      </c>
      <c r="H192" s="13">
        <f t="shared" si="53"/>
        <v>-2.0390070921985817E-2</v>
      </c>
      <c r="J192" s="13">
        <f t="shared" si="54"/>
        <v>0.97960992907801414</v>
      </c>
      <c r="K192" s="1" t="s">
        <v>87</v>
      </c>
    </row>
    <row r="193" spans="1:11" ht="15" customHeight="1" x14ac:dyDescent="0.3">
      <c r="A193" s="1" t="s">
        <v>80</v>
      </c>
      <c r="D193" s="1">
        <v>464</v>
      </c>
      <c r="E193" s="1">
        <v>460</v>
      </c>
      <c r="F193" s="12">
        <f t="shared" si="51"/>
        <v>462</v>
      </c>
      <c r="G193" s="1">
        <f t="shared" si="52"/>
        <v>4</v>
      </c>
      <c r="H193" s="13">
        <f t="shared" si="53"/>
        <v>8.6956521739130436E-3</v>
      </c>
      <c r="J193" s="13">
        <f t="shared" si="54"/>
        <v>1.008695652173913</v>
      </c>
      <c r="K193" s="1" t="s">
        <v>87</v>
      </c>
    </row>
    <row r="194" spans="1:11" ht="15" customHeight="1" x14ac:dyDescent="0.3">
      <c r="A194" s="1" t="s">
        <v>6</v>
      </c>
      <c r="B194" s="2"/>
      <c r="D194" s="1">
        <v>460</v>
      </c>
      <c r="E194" s="1">
        <v>448</v>
      </c>
      <c r="F194" s="12">
        <f t="shared" si="51"/>
        <v>454</v>
      </c>
      <c r="G194" s="1">
        <f t="shared" si="52"/>
        <v>12</v>
      </c>
      <c r="H194" s="13">
        <f t="shared" si="53"/>
        <v>2.6785714285714284E-2</v>
      </c>
      <c r="J194" s="13">
        <f t="shared" si="54"/>
        <v>1.0267857142857142</v>
      </c>
      <c r="K194" s="1" t="s">
        <v>88</v>
      </c>
    </row>
    <row r="195" spans="1:11" ht="15" customHeight="1" x14ac:dyDescent="0.3">
      <c r="A195" s="1" t="s">
        <v>7</v>
      </c>
      <c r="D195" s="1">
        <v>935</v>
      </c>
      <c r="E195" s="1">
        <v>937</v>
      </c>
      <c r="F195" s="1">
        <f t="shared" si="51"/>
        <v>936</v>
      </c>
      <c r="G195" s="1">
        <f t="shared" si="52"/>
        <v>-2</v>
      </c>
      <c r="H195" s="13">
        <f t="shared" si="53"/>
        <v>-2.1344717182497333E-3</v>
      </c>
      <c r="J195" s="13">
        <f t="shared" si="54"/>
        <v>0.99786552828175024</v>
      </c>
      <c r="K195" s="1" t="s">
        <v>88</v>
      </c>
    </row>
    <row r="196" spans="1:11" ht="15" customHeight="1" x14ac:dyDescent="0.3">
      <c r="A196" s="1" t="s">
        <v>8</v>
      </c>
      <c r="B196" s="1" t="s">
        <v>9</v>
      </c>
      <c r="D196" s="1">
        <v>761</v>
      </c>
      <c r="E196" s="1">
        <v>754</v>
      </c>
      <c r="F196" s="12">
        <f t="shared" si="51"/>
        <v>757.5</v>
      </c>
      <c r="G196" s="1">
        <f t="shared" si="52"/>
        <v>7</v>
      </c>
      <c r="H196" s="13">
        <f t="shared" si="53"/>
        <v>9.2838196286472146E-3</v>
      </c>
      <c r="I196" s="13">
        <v>-5.6765676567656763E-2</v>
      </c>
      <c r="J196" s="13">
        <f t="shared" si="54"/>
        <v>1.0092838196286471</v>
      </c>
      <c r="K196" s="1" t="s">
        <v>88</v>
      </c>
    </row>
    <row r="197" spans="1:11" ht="15" customHeight="1" x14ac:dyDescent="0.3">
      <c r="A197" s="1" t="s">
        <v>83</v>
      </c>
      <c r="B197" s="1" t="s">
        <v>9</v>
      </c>
      <c r="D197" s="1">
        <v>555</v>
      </c>
      <c r="E197" s="1">
        <v>552</v>
      </c>
      <c r="F197" s="12">
        <f t="shared" si="51"/>
        <v>553.5</v>
      </c>
      <c r="G197" s="1">
        <f t="shared" si="52"/>
        <v>3</v>
      </c>
      <c r="H197" s="13">
        <f t="shared" ref="H197:H258" si="55">G197/E197</f>
        <v>5.434782608695652E-3</v>
      </c>
      <c r="I197" s="13">
        <v>-0.12917795844625113</v>
      </c>
      <c r="J197" s="13">
        <f t="shared" ref="J197:J258" si="56">D197/E197</f>
        <v>1.0054347826086956</v>
      </c>
      <c r="K197" s="1" t="s">
        <v>88</v>
      </c>
    </row>
    <row r="198" spans="1:11" ht="15" customHeight="1" x14ac:dyDescent="0.3">
      <c r="A198" s="1" t="s">
        <v>10</v>
      </c>
      <c r="D198" s="1">
        <v>732</v>
      </c>
      <c r="E198" s="1">
        <v>741</v>
      </c>
      <c r="F198" s="12">
        <f t="shared" si="51"/>
        <v>736.5</v>
      </c>
      <c r="G198" s="1">
        <f t="shared" si="52"/>
        <v>-9</v>
      </c>
      <c r="H198" s="13">
        <f t="shared" si="55"/>
        <v>-1.2145748987854251E-2</v>
      </c>
      <c r="I198" s="13"/>
      <c r="J198" s="13">
        <f t="shared" si="56"/>
        <v>0.98785425101214575</v>
      </c>
      <c r="K198" s="1" t="s">
        <v>88</v>
      </c>
    </row>
    <row r="199" spans="1:11" ht="15" customHeight="1" x14ac:dyDescent="0.3">
      <c r="A199" s="1" t="s">
        <v>11</v>
      </c>
      <c r="D199" s="1">
        <v>1053</v>
      </c>
      <c r="E199" s="1">
        <v>1056</v>
      </c>
      <c r="F199" s="12">
        <f t="shared" si="51"/>
        <v>1054.5</v>
      </c>
      <c r="G199" s="1">
        <f t="shared" si="52"/>
        <v>-3</v>
      </c>
      <c r="H199" s="13">
        <f t="shared" si="55"/>
        <v>-2.840909090909091E-3</v>
      </c>
      <c r="I199" s="13"/>
      <c r="J199" s="13">
        <f t="shared" si="56"/>
        <v>0.99715909090909094</v>
      </c>
      <c r="K199" s="1" t="s">
        <v>88</v>
      </c>
    </row>
    <row r="200" spans="1:11" ht="15" customHeight="1" x14ac:dyDescent="0.3">
      <c r="A200" s="1" t="s">
        <v>12</v>
      </c>
      <c r="D200" s="1">
        <v>976</v>
      </c>
      <c r="E200" s="1">
        <v>970</v>
      </c>
      <c r="F200" s="1">
        <f t="shared" si="51"/>
        <v>973</v>
      </c>
      <c r="G200" s="1">
        <f t="shared" si="52"/>
        <v>6</v>
      </c>
      <c r="H200" s="13">
        <f t="shared" si="55"/>
        <v>6.1855670103092781E-3</v>
      </c>
      <c r="I200" s="13"/>
      <c r="J200" s="13">
        <f t="shared" si="56"/>
        <v>1.0061855670103093</v>
      </c>
      <c r="K200" s="1" t="s">
        <v>88</v>
      </c>
    </row>
    <row r="201" spans="1:11" ht="15" customHeight="1" x14ac:dyDescent="0.3">
      <c r="A201" s="1" t="s">
        <v>13</v>
      </c>
      <c r="B201" s="1" t="s">
        <v>14</v>
      </c>
      <c r="D201" s="1">
        <v>283</v>
      </c>
      <c r="E201" s="1">
        <v>275</v>
      </c>
      <c r="F201" s="1">
        <f t="shared" si="51"/>
        <v>279</v>
      </c>
      <c r="G201" s="1">
        <f t="shared" si="52"/>
        <v>8</v>
      </c>
      <c r="H201" s="13">
        <f t="shared" si="55"/>
        <v>2.9090909090909091E-2</v>
      </c>
      <c r="I201" s="13"/>
      <c r="J201" s="13">
        <f t="shared" si="56"/>
        <v>1.0290909090909091</v>
      </c>
      <c r="K201" s="1" t="s">
        <v>88</v>
      </c>
    </row>
    <row r="202" spans="1:11" ht="15" customHeight="1" x14ac:dyDescent="0.3">
      <c r="A202" s="1" t="s">
        <v>15</v>
      </c>
      <c r="B202" s="1" t="s">
        <v>14</v>
      </c>
      <c r="D202" s="1">
        <v>546</v>
      </c>
      <c r="E202" s="1">
        <v>541</v>
      </c>
      <c r="F202" s="12">
        <f t="shared" si="51"/>
        <v>543.5</v>
      </c>
      <c r="G202" s="1">
        <f t="shared" si="52"/>
        <v>5</v>
      </c>
      <c r="H202" s="13">
        <f t="shared" si="55"/>
        <v>9.242144177449169E-3</v>
      </c>
      <c r="I202" s="13"/>
      <c r="J202" s="13">
        <f t="shared" si="56"/>
        <v>1.0092421441774491</v>
      </c>
      <c r="K202" s="1" t="s">
        <v>88</v>
      </c>
    </row>
    <row r="203" spans="1:11" ht="15" customHeight="1" x14ac:dyDescent="0.3">
      <c r="A203" s="1" t="s">
        <v>16</v>
      </c>
      <c r="B203" s="1" t="s">
        <v>17</v>
      </c>
      <c r="D203" s="1">
        <v>649</v>
      </c>
      <c r="E203" s="1">
        <v>656</v>
      </c>
      <c r="F203" s="12">
        <f t="shared" si="51"/>
        <v>652.5</v>
      </c>
      <c r="G203" s="1">
        <f t="shared" si="52"/>
        <v>-7</v>
      </c>
      <c r="H203" s="13">
        <f t="shared" si="55"/>
        <v>-1.0670731707317074E-2</v>
      </c>
      <c r="I203" s="13"/>
      <c r="J203" s="13">
        <f t="shared" si="56"/>
        <v>0.98932926829268297</v>
      </c>
      <c r="K203" s="1" t="s">
        <v>88</v>
      </c>
    </row>
    <row r="204" spans="1:11" ht="15" customHeight="1" x14ac:dyDescent="0.3">
      <c r="A204" s="1" t="s">
        <v>18</v>
      </c>
      <c r="B204" s="1" t="s">
        <v>17</v>
      </c>
      <c r="D204" s="1">
        <v>765</v>
      </c>
      <c r="E204" s="1">
        <v>771</v>
      </c>
      <c r="F204" s="1">
        <f t="shared" si="51"/>
        <v>768</v>
      </c>
      <c r="G204" s="1">
        <f t="shared" si="52"/>
        <v>-6</v>
      </c>
      <c r="H204" s="13">
        <f t="shared" si="55"/>
        <v>-7.7821011673151752E-3</v>
      </c>
      <c r="I204" s="13"/>
      <c r="J204" s="13">
        <f t="shared" si="56"/>
        <v>0.99221789883268485</v>
      </c>
      <c r="K204" s="1" t="s">
        <v>88</v>
      </c>
    </row>
    <row r="205" spans="1:11" ht="15" customHeight="1" x14ac:dyDescent="0.3">
      <c r="A205" s="1" t="s">
        <v>19</v>
      </c>
      <c r="B205" s="1" t="s">
        <v>17</v>
      </c>
      <c r="D205" s="1">
        <v>548</v>
      </c>
      <c r="E205" s="1">
        <v>570</v>
      </c>
      <c r="F205" s="1">
        <f t="shared" si="51"/>
        <v>559</v>
      </c>
      <c r="G205" s="1">
        <f t="shared" si="52"/>
        <v>-22</v>
      </c>
      <c r="H205" s="13">
        <f t="shared" si="55"/>
        <v>-3.8596491228070177E-2</v>
      </c>
      <c r="I205" s="13"/>
      <c r="J205" s="13">
        <f t="shared" si="56"/>
        <v>0.96140350877192982</v>
      </c>
      <c r="K205" s="1" t="s">
        <v>88</v>
      </c>
    </row>
    <row r="206" spans="1:11" ht="15" customHeight="1" x14ac:dyDescent="0.3">
      <c r="A206" s="1" t="s">
        <v>20</v>
      </c>
      <c r="B206" s="1" t="s">
        <v>17</v>
      </c>
      <c r="D206" s="1">
        <v>428</v>
      </c>
      <c r="E206" s="1">
        <v>411</v>
      </c>
      <c r="F206" s="12">
        <f t="shared" si="51"/>
        <v>419.5</v>
      </c>
      <c r="G206" s="1">
        <f t="shared" si="52"/>
        <v>17</v>
      </c>
      <c r="H206" s="13">
        <f t="shared" si="55"/>
        <v>4.1362530413625302E-2</v>
      </c>
      <c r="I206" s="13"/>
      <c r="J206" s="13">
        <f t="shared" si="56"/>
        <v>1.0413625304136254</v>
      </c>
      <c r="K206" s="1" t="s">
        <v>88</v>
      </c>
    </row>
    <row r="207" spans="1:11" ht="15" customHeight="1" x14ac:dyDescent="0.3">
      <c r="A207" s="1" t="s">
        <v>21</v>
      </c>
      <c r="B207" s="1" t="s">
        <v>17</v>
      </c>
      <c r="D207" s="1">
        <v>92</v>
      </c>
      <c r="E207" s="1">
        <v>93</v>
      </c>
      <c r="F207" s="12">
        <f t="shared" si="51"/>
        <v>92.5</v>
      </c>
      <c r="G207" s="1">
        <f t="shared" si="52"/>
        <v>-1</v>
      </c>
      <c r="H207" s="13">
        <f t="shared" si="55"/>
        <v>-1.0752688172043012E-2</v>
      </c>
      <c r="I207" s="13"/>
      <c r="J207" s="13">
        <f t="shared" si="56"/>
        <v>0.989247311827957</v>
      </c>
      <c r="K207" s="1" t="s">
        <v>88</v>
      </c>
    </row>
    <row r="208" spans="1:11" ht="15" customHeight="1" x14ac:dyDescent="0.3">
      <c r="A208" s="1" t="s">
        <v>22</v>
      </c>
      <c r="B208" s="1" t="s">
        <v>23</v>
      </c>
      <c r="D208" s="1">
        <v>836</v>
      </c>
      <c r="E208" s="1">
        <v>855</v>
      </c>
      <c r="F208" s="12">
        <f t="shared" si="51"/>
        <v>845.5</v>
      </c>
      <c r="G208" s="1">
        <f t="shared" si="52"/>
        <v>-19</v>
      </c>
      <c r="H208" s="13">
        <f t="shared" si="55"/>
        <v>-2.2222222222222223E-2</v>
      </c>
      <c r="I208" s="13"/>
      <c r="J208" s="13">
        <f t="shared" si="56"/>
        <v>0.97777777777777775</v>
      </c>
      <c r="K208" s="1" t="s">
        <v>88</v>
      </c>
    </row>
    <row r="209" spans="1:11" ht="15" customHeight="1" x14ac:dyDescent="0.3">
      <c r="A209" s="1" t="s">
        <v>24</v>
      </c>
      <c r="B209" s="1" t="s">
        <v>23</v>
      </c>
      <c r="D209" s="1">
        <v>905</v>
      </c>
      <c r="E209" s="1">
        <v>903</v>
      </c>
      <c r="F209" s="1">
        <f t="shared" si="51"/>
        <v>904</v>
      </c>
      <c r="G209" s="1">
        <f t="shared" si="52"/>
        <v>2</v>
      </c>
      <c r="H209" s="13">
        <f t="shared" si="55"/>
        <v>2.2148394241417496E-3</v>
      </c>
      <c r="I209" s="13"/>
      <c r="J209" s="13">
        <f t="shared" si="56"/>
        <v>1.0022148394241417</v>
      </c>
      <c r="K209" s="1" t="s">
        <v>88</v>
      </c>
    </row>
    <row r="210" spans="1:11" ht="15" customHeight="1" x14ac:dyDescent="0.3">
      <c r="A210" s="1" t="s">
        <v>25</v>
      </c>
      <c r="B210" s="1" t="s">
        <v>23</v>
      </c>
      <c r="D210" s="1">
        <v>876</v>
      </c>
      <c r="E210" s="1">
        <v>883</v>
      </c>
      <c r="F210" s="12">
        <f t="shared" si="51"/>
        <v>879.5</v>
      </c>
      <c r="G210" s="1">
        <f t="shared" si="52"/>
        <v>-7</v>
      </c>
      <c r="H210" s="13">
        <f t="shared" si="55"/>
        <v>-7.9275198187995465E-3</v>
      </c>
      <c r="I210" s="13"/>
      <c r="J210" s="13">
        <f t="shared" si="56"/>
        <v>0.99207248018120042</v>
      </c>
      <c r="K210" s="1" t="s">
        <v>88</v>
      </c>
    </row>
    <row r="211" spans="1:11" ht="15" customHeight="1" x14ac:dyDescent="0.3">
      <c r="A211" s="1" t="s">
        <v>26</v>
      </c>
      <c r="B211" s="1" t="s">
        <v>27</v>
      </c>
      <c r="D211" s="1">
        <v>727</v>
      </c>
      <c r="E211" s="1">
        <v>754</v>
      </c>
      <c r="F211" s="12">
        <f t="shared" si="51"/>
        <v>740.5</v>
      </c>
      <c r="G211" s="1">
        <f t="shared" si="52"/>
        <v>-27</v>
      </c>
      <c r="H211" s="13">
        <f t="shared" si="55"/>
        <v>-3.580901856763926E-2</v>
      </c>
      <c r="I211" s="13"/>
      <c r="J211" s="13">
        <f t="shared" si="56"/>
        <v>0.96419098143236071</v>
      </c>
      <c r="K211" s="1" t="s">
        <v>88</v>
      </c>
    </row>
    <row r="212" spans="1:11" ht="15" customHeight="1" x14ac:dyDescent="0.3">
      <c r="A212" s="1" t="s">
        <v>28</v>
      </c>
      <c r="B212" s="1" t="s">
        <v>29</v>
      </c>
      <c r="D212" s="1">
        <v>263</v>
      </c>
      <c r="E212" s="1">
        <v>267</v>
      </c>
      <c r="F212" s="1">
        <f t="shared" si="51"/>
        <v>265</v>
      </c>
      <c r="G212" s="1">
        <f t="shared" si="52"/>
        <v>-4</v>
      </c>
      <c r="H212" s="13">
        <f t="shared" si="55"/>
        <v>-1.4981273408239701E-2</v>
      </c>
      <c r="I212" s="13"/>
      <c r="J212" s="13">
        <f t="shared" si="56"/>
        <v>0.98501872659176026</v>
      </c>
      <c r="K212" s="1" t="s">
        <v>88</v>
      </c>
    </row>
    <row r="213" spans="1:11" ht="15" customHeight="1" x14ac:dyDescent="0.3">
      <c r="A213" s="6" t="s">
        <v>30</v>
      </c>
      <c r="B213" s="1" t="s">
        <v>29</v>
      </c>
      <c r="D213" s="1">
        <v>394</v>
      </c>
      <c r="E213" s="1">
        <v>392</v>
      </c>
      <c r="F213" s="1">
        <f t="shared" si="51"/>
        <v>393</v>
      </c>
      <c r="G213" s="1">
        <f t="shared" si="52"/>
        <v>2</v>
      </c>
      <c r="H213" s="13">
        <f t="shared" si="55"/>
        <v>5.1020408163265302E-3</v>
      </c>
      <c r="I213" s="13"/>
      <c r="J213" s="13">
        <f t="shared" si="56"/>
        <v>1.0051020408163265</v>
      </c>
      <c r="K213" s="1" t="s">
        <v>88</v>
      </c>
    </row>
    <row r="214" spans="1:11" ht="15" customHeight="1" x14ac:dyDescent="0.35">
      <c r="A214" s="5" t="s">
        <v>31</v>
      </c>
      <c r="B214" s="1" t="s">
        <v>29</v>
      </c>
      <c r="D214" s="1">
        <v>346</v>
      </c>
      <c r="E214" s="1">
        <v>341</v>
      </c>
      <c r="F214" s="12">
        <f t="shared" si="51"/>
        <v>343.5</v>
      </c>
      <c r="G214" s="1">
        <f t="shared" si="52"/>
        <v>5</v>
      </c>
      <c r="H214" s="13">
        <f t="shared" si="55"/>
        <v>1.466275659824047E-2</v>
      </c>
      <c r="I214" s="13"/>
      <c r="J214" s="13">
        <f t="shared" si="56"/>
        <v>1.0146627565982405</v>
      </c>
      <c r="K214" s="1" t="s">
        <v>88</v>
      </c>
    </row>
    <row r="215" spans="1:11" ht="15" customHeight="1" x14ac:dyDescent="0.4">
      <c r="A215" s="4" t="s">
        <v>32</v>
      </c>
      <c r="B215" s="1" t="s">
        <v>29</v>
      </c>
      <c r="D215" s="1">
        <v>402</v>
      </c>
      <c r="E215" s="1">
        <v>400</v>
      </c>
      <c r="F215" s="1">
        <f t="shared" si="51"/>
        <v>401</v>
      </c>
      <c r="G215" s="1">
        <f t="shared" si="52"/>
        <v>2</v>
      </c>
      <c r="H215" s="13">
        <f t="shared" si="55"/>
        <v>5.0000000000000001E-3</v>
      </c>
      <c r="I215" s="13"/>
      <c r="J215" s="13">
        <f t="shared" si="56"/>
        <v>1.0049999999999999</v>
      </c>
      <c r="K215" s="1" t="s">
        <v>88</v>
      </c>
    </row>
    <row r="216" spans="1:11" ht="15" customHeight="1" x14ac:dyDescent="0.3">
      <c r="A216" s="1" t="s">
        <v>33</v>
      </c>
      <c r="D216" s="1">
        <v>440</v>
      </c>
      <c r="E216" s="1">
        <v>435</v>
      </c>
      <c r="F216" s="12">
        <f t="shared" si="51"/>
        <v>437.5</v>
      </c>
      <c r="G216" s="1">
        <f t="shared" si="52"/>
        <v>5</v>
      </c>
      <c r="H216" s="13">
        <f t="shared" si="55"/>
        <v>1.1494252873563218E-2</v>
      </c>
      <c r="I216" s="13"/>
      <c r="J216" s="13">
        <f t="shared" si="56"/>
        <v>1.0114942528735633</v>
      </c>
      <c r="K216" s="1" t="s">
        <v>88</v>
      </c>
    </row>
    <row r="217" spans="1:11" ht="15" customHeight="1" x14ac:dyDescent="0.3">
      <c r="A217" s="1" t="s">
        <v>34</v>
      </c>
      <c r="B217" s="1" t="s">
        <v>34</v>
      </c>
      <c r="D217" s="1">
        <v>198</v>
      </c>
      <c r="E217" s="1">
        <v>203</v>
      </c>
      <c r="F217" s="12">
        <f t="shared" si="51"/>
        <v>200.5</v>
      </c>
      <c r="G217" s="1">
        <f t="shared" si="52"/>
        <v>-5</v>
      </c>
      <c r="H217" s="13">
        <f t="shared" si="55"/>
        <v>-2.4630541871921183E-2</v>
      </c>
      <c r="I217" s="13"/>
      <c r="J217" s="13">
        <f t="shared" si="56"/>
        <v>0.97536945812807885</v>
      </c>
      <c r="K217" s="1" t="s">
        <v>88</v>
      </c>
    </row>
    <row r="218" spans="1:11" ht="15" customHeight="1" x14ac:dyDescent="0.3">
      <c r="A218" s="1" t="s">
        <v>35</v>
      </c>
      <c r="B218" s="1" t="s">
        <v>36</v>
      </c>
      <c r="D218" s="1">
        <v>175</v>
      </c>
      <c r="E218" s="1">
        <v>199</v>
      </c>
      <c r="F218" s="1">
        <f t="shared" si="51"/>
        <v>187</v>
      </c>
      <c r="G218" s="1">
        <f t="shared" si="52"/>
        <v>-24</v>
      </c>
      <c r="H218" s="13">
        <f t="shared" si="55"/>
        <v>-0.12060301507537688</v>
      </c>
      <c r="I218" s="13"/>
      <c r="J218" s="13">
        <f t="shared" si="56"/>
        <v>0.87939698492462315</v>
      </c>
      <c r="K218" s="1" t="s">
        <v>88</v>
      </c>
    </row>
    <row r="219" spans="1:11" ht="15" customHeight="1" x14ac:dyDescent="0.3">
      <c r="A219" s="1" t="s">
        <v>37</v>
      </c>
      <c r="B219" s="1" t="s">
        <v>36</v>
      </c>
      <c r="D219" s="1">
        <v>131</v>
      </c>
      <c r="E219" s="1">
        <v>132</v>
      </c>
      <c r="F219" s="12">
        <f t="shared" ref="F219:F258" si="57">(E219+D219)/2</f>
        <v>131.5</v>
      </c>
      <c r="G219" s="1">
        <f t="shared" ref="G219:G258" si="58">D219-E219</f>
        <v>-1</v>
      </c>
      <c r="H219" s="13">
        <f t="shared" si="55"/>
        <v>-7.575757575757576E-3</v>
      </c>
      <c r="I219" s="13"/>
      <c r="J219" s="13">
        <f t="shared" si="56"/>
        <v>0.99242424242424243</v>
      </c>
      <c r="K219" s="1" t="s">
        <v>88</v>
      </c>
    </row>
    <row r="220" spans="1:11" ht="15" customHeight="1" x14ac:dyDescent="0.3">
      <c r="A220" s="1" t="s">
        <v>38</v>
      </c>
      <c r="B220" s="1" t="s">
        <v>38</v>
      </c>
      <c r="D220" s="1">
        <v>493</v>
      </c>
      <c r="E220" s="1">
        <v>488</v>
      </c>
      <c r="F220" s="12">
        <f t="shared" si="57"/>
        <v>490.5</v>
      </c>
      <c r="G220" s="1">
        <f t="shared" si="58"/>
        <v>5</v>
      </c>
      <c r="H220" s="13">
        <f t="shared" si="55"/>
        <v>1.0245901639344262E-2</v>
      </c>
      <c r="I220" s="13"/>
      <c r="J220" s="13">
        <f t="shared" si="56"/>
        <v>1.0102459016393444</v>
      </c>
      <c r="K220" s="1" t="s">
        <v>88</v>
      </c>
    </row>
    <row r="221" spans="1:11" ht="15" customHeight="1" x14ac:dyDescent="0.3">
      <c r="A221" s="1" t="s">
        <v>39</v>
      </c>
      <c r="B221" s="1" t="s">
        <v>40</v>
      </c>
      <c r="D221" s="1">
        <v>790</v>
      </c>
      <c r="E221" s="1">
        <v>779</v>
      </c>
      <c r="F221" s="12">
        <f t="shared" si="57"/>
        <v>784.5</v>
      </c>
      <c r="G221" s="1">
        <f t="shared" si="58"/>
        <v>11</v>
      </c>
      <c r="H221" s="13">
        <f t="shared" si="55"/>
        <v>1.4120667522464698E-2</v>
      </c>
      <c r="I221" s="13"/>
      <c r="J221" s="13">
        <f t="shared" si="56"/>
        <v>1.0141206675224648</v>
      </c>
      <c r="K221" s="1" t="s">
        <v>88</v>
      </c>
    </row>
    <row r="222" spans="1:11" ht="15" customHeight="1" x14ac:dyDescent="0.3">
      <c r="A222" s="1" t="s">
        <v>41</v>
      </c>
      <c r="B222" s="1" t="s">
        <v>40</v>
      </c>
      <c r="D222" s="1">
        <v>792</v>
      </c>
      <c r="E222" s="1">
        <v>791</v>
      </c>
      <c r="F222" s="12">
        <f t="shared" si="57"/>
        <v>791.5</v>
      </c>
      <c r="G222" s="1">
        <f t="shared" si="58"/>
        <v>1</v>
      </c>
      <c r="H222" s="13">
        <f t="shared" si="55"/>
        <v>1.2642225031605564E-3</v>
      </c>
      <c r="I222" s="13"/>
      <c r="J222" s="13">
        <f t="shared" si="56"/>
        <v>1.0012642225031605</v>
      </c>
      <c r="K222" s="1" t="s">
        <v>88</v>
      </c>
    </row>
    <row r="223" spans="1:11" ht="15" customHeight="1" x14ac:dyDescent="0.3">
      <c r="A223" s="1" t="s">
        <v>42</v>
      </c>
      <c r="B223" s="1" t="s">
        <v>40</v>
      </c>
      <c r="D223" s="1">
        <v>518</v>
      </c>
      <c r="E223" s="1">
        <v>507</v>
      </c>
      <c r="F223" s="12">
        <f t="shared" si="57"/>
        <v>512.5</v>
      </c>
      <c r="G223" s="1">
        <f t="shared" si="58"/>
        <v>11</v>
      </c>
      <c r="H223" s="13">
        <f t="shared" si="55"/>
        <v>2.1696252465483234E-2</v>
      </c>
      <c r="I223" s="13"/>
      <c r="J223" s="13">
        <f t="shared" si="56"/>
        <v>1.0216962524654833</v>
      </c>
      <c r="K223" s="1" t="s">
        <v>88</v>
      </c>
    </row>
    <row r="224" spans="1:11" ht="15" customHeight="1" x14ac:dyDescent="0.3">
      <c r="A224" s="1" t="s">
        <v>43</v>
      </c>
      <c r="B224" s="1" t="s">
        <v>40</v>
      </c>
      <c r="D224" s="1">
        <v>791</v>
      </c>
      <c r="E224" s="1">
        <v>777</v>
      </c>
      <c r="F224" s="1">
        <f t="shared" si="57"/>
        <v>784</v>
      </c>
      <c r="G224" s="1">
        <f t="shared" si="58"/>
        <v>14</v>
      </c>
      <c r="H224" s="13">
        <f t="shared" si="55"/>
        <v>1.8018018018018018E-2</v>
      </c>
      <c r="I224" s="13"/>
      <c r="J224" s="13">
        <f t="shared" si="56"/>
        <v>1.0180180180180181</v>
      </c>
      <c r="K224" s="1" t="s">
        <v>88</v>
      </c>
    </row>
    <row r="225" spans="1:11" ht="15" customHeight="1" x14ac:dyDescent="0.3">
      <c r="A225" s="1" t="s">
        <v>44</v>
      </c>
      <c r="D225" s="1">
        <v>780</v>
      </c>
      <c r="E225" s="1">
        <v>786</v>
      </c>
      <c r="F225" s="1">
        <f t="shared" si="57"/>
        <v>783</v>
      </c>
      <c r="G225" s="1">
        <f t="shared" si="58"/>
        <v>-6</v>
      </c>
      <c r="H225" s="13">
        <f t="shared" si="55"/>
        <v>-7.6335877862595417E-3</v>
      </c>
      <c r="I225" s="13"/>
      <c r="J225" s="13">
        <f t="shared" si="56"/>
        <v>0.99236641221374045</v>
      </c>
      <c r="K225" s="1" t="s">
        <v>88</v>
      </c>
    </row>
    <row r="226" spans="1:11" ht="15" customHeight="1" x14ac:dyDescent="0.3">
      <c r="A226" s="1" t="s">
        <v>45</v>
      </c>
      <c r="B226" s="1" t="s">
        <v>46</v>
      </c>
      <c r="D226" s="1">
        <v>694</v>
      </c>
      <c r="E226" s="1">
        <v>703</v>
      </c>
      <c r="F226" s="12">
        <f t="shared" si="57"/>
        <v>698.5</v>
      </c>
      <c r="G226" s="1">
        <f t="shared" si="58"/>
        <v>-9</v>
      </c>
      <c r="H226" s="13">
        <f t="shared" si="55"/>
        <v>-1.2802275960170697E-2</v>
      </c>
      <c r="I226" s="13"/>
      <c r="J226" s="13">
        <f t="shared" si="56"/>
        <v>0.98719772403982931</v>
      </c>
      <c r="K226" s="1" t="s">
        <v>88</v>
      </c>
    </row>
    <row r="227" spans="1:11" ht="15" customHeight="1" x14ac:dyDescent="0.3">
      <c r="A227" s="1" t="s">
        <v>47</v>
      </c>
      <c r="B227" s="1" t="s">
        <v>46</v>
      </c>
      <c r="D227" s="1">
        <v>567</v>
      </c>
      <c r="E227" s="1">
        <v>577</v>
      </c>
      <c r="F227" s="1">
        <f t="shared" si="57"/>
        <v>572</v>
      </c>
      <c r="G227" s="1">
        <f t="shared" si="58"/>
        <v>-10</v>
      </c>
      <c r="H227" s="13">
        <f t="shared" si="55"/>
        <v>-1.7331022530329289E-2</v>
      </c>
      <c r="I227" s="13"/>
      <c r="J227" s="13">
        <f t="shared" si="56"/>
        <v>0.98266897746967075</v>
      </c>
      <c r="K227" s="1" t="s">
        <v>88</v>
      </c>
    </row>
    <row r="228" spans="1:11" ht="15" customHeight="1" x14ac:dyDescent="0.3">
      <c r="A228" s="1" t="s">
        <v>48</v>
      </c>
      <c r="B228" s="1" t="s">
        <v>46</v>
      </c>
      <c r="D228" s="1">
        <v>486</v>
      </c>
      <c r="E228" s="1">
        <v>490</v>
      </c>
      <c r="F228" s="1">
        <f t="shared" si="57"/>
        <v>488</v>
      </c>
      <c r="G228" s="1">
        <f t="shared" si="58"/>
        <v>-4</v>
      </c>
      <c r="H228" s="13">
        <f t="shared" si="55"/>
        <v>-8.1632653061224497E-3</v>
      </c>
      <c r="I228" s="13"/>
      <c r="J228" s="13">
        <f t="shared" si="56"/>
        <v>0.99183673469387756</v>
      </c>
      <c r="K228" s="1" t="s">
        <v>88</v>
      </c>
    </row>
    <row r="229" spans="1:11" ht="15" customHeight="1" x14ac:dyDescent="0.3">
      <c r="A229" s="1" t="s">
        <v>49</v>
      </c>
      <c r="B229" s="1" t="s">
        <v>50</v>
      </c>
      <c r="D229" s="1">
        <v>729</v>
      </c>
      <c r="E229" s="1">
        <v>734</v>
      </c>
      <c r="F229" s="12">
        <f t="shared" si="57"/>
        <v>731.5</v>
      </c>
      <c r="G229" s="1">
        <f t="shared" si="58"/>
        <v>-5</v>
      </c>
      <c r="H229" s="13">
        <f t="shared" si="55"/>
        <v>-6.8119891008174387E-3</v>
      </c>
      <c r="I229" s="13"/>
      <c r="J229" s="13">
        <f t="shared" si="56"/>
        <v>0.99318801089918252</v>
      </c>
      <c r="K229" s="1" t="s">
        <v>88</v>
      </c>
    </row>
    <row r="230" spans="1:11" ht="15" customHeight="1" x14ac:dyDescent="0.3">
      <c r="A230" s="1" t="s">
        <v>51</v>
      </c>
      <c r="B230" s="1" t="s">
        <v>50</v>
      </c>
      <c r="D230" s="1">
        <v>601</v>
      </c>
      <c r="E230" s="1">
        <v>605</v>
      </c>
      <c r="F230" s="1">
        <f t="shared" si="57"/>
        <v>603</v>
      </c>
      <c r="G230" s="1">
        <f t="shared" si="58"/>
        <v>-4</v>
      </c>
      <c r="H230" s="13">
        <f t="shared" si="55"/>
        <v>-6.6115702479338841E-3</v>
      </c>
      <c r="I230" s="13"/>
      <c r="J230" s="13">
        <f t="shared" si="56"/>
        <v>0.99338842975206609</v>
      </c>
      <c r="K230" s="1" t="s">
        <v>88</v>
      </c>
    </row>
    <row r="231" spans="1:11" ht="15" customHeight="1" x14ac:dyDescent="0.3">
      <c r="A231" s="1" t="s">
        <v>52</v>
      </c>
      <c r="B231" s="1" t="s">
        <v>50</v>
      </c>
      <c r="D231" s="1">
        <v>556</v>
      </c>
      <c r="E231" s="1">
        <v>572</v>
      </c>
      <c r="F231" s="1">
        <f t="shared" si="57"/>
        <v>564</v>
      </c>
      <c r="G231" s="1">
        <f t="shared" si="58"/>
        <v>-16</v>
      </c>
      <c r="H231" s="13">
        <f t="shared" si="55"/>
        <v>-2.7972027972027972E-2</v>
      </c>
      <c r="I231" s="13"/>
      <c r="J231" s="13">
        <f t="shared" si="56"/>
        <v>0.97202797202797198</v>
      </c>
      <c r="K231" s="1" t="s">
        <v>88</v>
      </c>
    </row>
    <row r="232" spans="1:11" ht="15" customHeight="1" x14ac:dyDescent="0.3">
      <c r="A232" s="1" t="s">
        <v>53</v>
      </c>
      <c r="B232" s="1" t="s">
        <v>50</v>
      </c>
      <c r="D232" s="1">
        <v>1079</v>
      </c>
      <c r="E232" s="1">
        <v>1092</v>
      </c>
      <c r="F232" s="12">
        <f t="shared" si="57"/>
        <v>1085.5</v>
      </c>
      <c r="G232" s="1">
        <f t="shared" si="58"/>
        <v>-13</v>
      </c>
      <c r="H232" s="13">
        <f t="shared" si="55"/>
        <v>-1.1904761904761904E-2</v>
      </c>
      <c r="I232" s="13"/>
      <c r="J232" s="13">
        <f t="shared" si="56"/>
        <v>0.98809523809523814</v>
      </c>
      <c r="K232" s="1" t="s">
        <v>88</v>
      </c>
    </row>
    <row r="233" spans="1:11" ht="15" customHeight="1" x14ac:dyDescent="0.3">
      <c r="A233" s="1" t="s">
        <v>54</v>
      </c>
      <c r="B233" s="1" t="s">
        <v>50</v>
      </c>
      <c r="D233" s="1">
        <v>668</v>
      </c>
      <c r="E233" s="1">
        <v>690</v>
      </c>
      <c r="F233" s="1">
        <f t="shared" si="57"/>
        <v>679</v>
      </c>
      <c r="G233" s="1">
        <f t="shared" si="58"/>
        <v>-22</v>
      </c>
      <c r="H233" s="13">
        <f t="shared" si="55"/>
        <v>-3.1884057971014491E-2</v>
      </c>
      <c r="I233" s="13"/>
      <c r="J233" s="13">
        <f t="shared" si="56"/>
        <v>0.96811594202898554</v>
      </c>
      <c r="K233" s="1" t="s">
        <v>88</v>
      </c>
    </row>
    <row r="234" spans="1:11" ht="15" customHeight="1" x14ac:dyDescent="0.3">
      <c r="A234" s="1" t="s">
        <v>55</v>
      </c>
      <c r="B234" s="1" t="s">
        <v>50</v>
      </c>
      <c r="D234" s="1">
        <v>593</v>
      </c>
      <c r="E234" s="1">
        <v>601</v>
      </c>
      <c r="F234" s="1">
        <f t="shared" si="57"/>
        <v>597</v>
      </c>
      <c r="G234" s="1">
        <f t="shared" si="58"/>
        <v>-8</v>
      </c>
      <c r="H234" s="13">
        <f t="shared" si="55"/>
        <v>-1.3311148086522463E-2</v>
      </c>
      <c r="I234" s="13"/>
      <c r="J234" s="13">
        <f t="shared" si="56"/>
        <v>0.98668885191347755</v>
      </c>
      <c r="K234" s="1" t="s">
        <v>88</v>
      </c>
    </row>
    <row r="235" spans="1:11" ht="15" customHeight="1" x14ac:dyDescent="0.3">
      <c r="A235" s="1" t="s">
        <v>56</v>
      </c>
      <c r="B235" s="1" t="s">
        <v>50</v>
      </c>
      <c r="D235" s="1">
        <v>836</v>
      </c>
      <c r="E235" s="1">
        <v>855</v>
      </c>
      <c r="F235" s="12">
        <f t="shared" si="57"/>
        <v>845.5</v>
      </c>
      <c r="G235" s="1">
        <f t="shared" si="58"/>
        <v>-19</v>
      </c>
      <c r="H235" s="13">
        <f t="shared" si="55"/>
        <v>-2.2222222222222223E-2</v>
      </c>
      <c r="I235" s="13"/>
      <c r="J235" s="13">
        <f t="shared" si="56"/>
        <v>0.97777777777777775</v>
      </c>
      <c r="K235" s="1" t="s">
        <v>88</v>
      </c>
    </row>
    <row r="236" spans="1:11" ht="15" customHeight="1" x14ac:dyDescent="0.3">
      <c r="A236" s="1" t="s">
        <v>57</v>
      </c>
      <c r="B236" s="1" t="s">
        <v>58</v>
      </c>
      <c r="D236" s="1">
        <v>658</v>
      </c>
      <c r="E236" s="1">
        <v>656</v>
      </c>
      <c r="F236" s="1">
        <f t="shared" si="57"/>
        <v>657</v>
      </c>
      <c r="G236" s="1">
        <f t="shared" si="58"/>
        <v>2</v>
      </c>
      <c r="H236" s="13">
        <f t="shared" si="55"/>
        <v>3.0487804878048782E-3</v>
      </c>
      <c r="I236" s="13"/>
      <c r="J236" s="13">
        <f t="shared" si="56"/>
        <v>1.0030487804878048</v>
      </c>
      <c r="K236" s="1" t="s">
        <v>88</v>
      </c>
    </row>
    <row r="237" spans="1:11" ht="15" customHeight="1" x14ac:dyDescent="0.3">
      <c r="A237" s="1" t="s">
        <v>59</v>
      </c>
      <c r="B237" s="1" t="s">
        <v>58</v>
      </c>
      <c r="D237" s="1">
        <v>712</v>
      </c>
      <c r="E237" s="1">
        <v>713</v>
      </c>
      <c r="F237" s="12">
        <f t="shared" si="57"/>
        <v>712.5</v>
      </c>
      <c r="G237" s="1">
        <f t="shared" si="58"/>
        <v>-1</v>
      </c>
      <c r="H237" s="13">
        <f t="shared" si="55"/>
        <v>-1.4025245441795231E-3</v>
      </c>
      <c r="I237" s="13"/>
      <c r="J237" s="13">
        <f t="shared" si="56"/>
        <v>0.99859747545582045</v>
      </c>
      <c r="K237" s="1" t="s">
        <v>88</v>
      </c>
    </row>
    <row r="238" spans="1:11" ht="15" customHeight="1" x14ac:dyDescent="0.3">
      <c r="A238" s="1" t="s">
        <v>60</v>
      </c>
      <c r="B238" s="1" t="s">
        <v>58</v>
      </c>
      <c r="D238" s="1">
        <v>654</v>
      </c>
      <c r="E238" s="1">
        <v>657</v>
      </c>
      <c r="F238" s="12">
        <f t="shared" si="57"/>
        <v>655.5</v>
      </c>
      <c r="G238" s="1">
        <f t="shared" si="58"/>
        <v>-3</v>
      </c>
      <c r="H238" s="13">
        <f t="shared" si="55"/>
        <v>-4.5662100456621002E-3</v>
      </c>
      <c r="I238" s="13"/>
      <c r="J238" s="13">
        <f t="shared" si="56"/>
        <v>0.99543378995433784</v>
      </c>
      <c r="K238" s="1" t="s">
        <v>88</v>
      </c>
    </row>
    <row r="239" spans="1:11" ht="15" customHeight="1" x14ac:dyDescent="0.3">
      <c r="A239" s="1" t="s">
        <v>61</v>
      </c>
      <c r="B239" s="1" t="s">
        <v>58</v>
      </c>
      <c r="D239" s="1">
        <v>823</v>
      </c>
      <c r="E239" s="1">
        <v>821</v>
      </c>
      <c r="F239" s="1">
        <f t="shared" si="57"/>
        <v>822</v>
      </c>
      <c r="G239" s="1">
        <f t="shared" si="58"/>
        <v>2</v>
      </c>
      <c r="H239" s="13">
        <f t="shared" si="55"/>
        <v>2.4360535931790498E-3</v>
      </c>
      <c r="I239" s="13"/>
      <c r="J239" s="13">
        <f t="shared" si="56"/>
        <v>1.0024360535931791</v>
      </c>
      <c r="K239" s="1" t="s">
        <v>88</v>
      </c>
    </row>
    <row r="240" spans="1:11" ht="15" customHeight="1" x14ac:dyDescent="0.3">
      <c r="A240" s="1" t="s">
        <v>62</v>
      </c>
      <c r="B240" s="1" t="s">
        <v>58</v>
      </c>
      <c r="D240" s="1">
        <v>928</v>
      </c>
      <c r="E240" s="1">
        <v>924</v>
      </c>
      <c r="F240" s="1">
        <f t="shared" si="57"/>
        <v>926</v>
      </c>
      <c r="G240" s="1">
        <f t="shared" si="58"/>
        <v>4</v>
      </c>
      <c r="H240" s="13">
        <f t="shared" si="55"/>
        <v>4.329004329004329E-3</v>
      </c>
      <c r="I240" s="13"/>
      <c r="J240" s="13">
        <f t="shared" si="56"/>
        <v>1.0043290043290043</v>
      </c>
      <c r="K240" s="1" t="s">
        <v>88</v>
      </c>
    </row>
    <row r="241" spans="1:11" ht="15" customHeight="1" x14ac:dyDescent="0.3">
      <c r="A241" s="1" t="s">
        <v>63</v>
      </c>
      <c r="B241" s="1" t="s">
        <v>58</v>
      </c>
      <c r="D241" s="1">
        <v>968</v>
      </c>
      <c r="E241" s="1">
        <v>957</v>
      </c>
      <c r="F241" s="12">
        <f t="shared" si="57"/>
        <v>962.5</v>
      </c>
      <c r="G241" s="1">
        <f t="shared" si="58"/>
        <v>11</v>
      </c>
      <c r="H241" s="13">
        <f t="shared" si="55"/>
        <v>1.1494252873563218E-2</v>
      </c>
      <c r="I241" s="13"/>
      <c r="J241" s="13">
        <f t="shared" si="56"/>
        <v>1.0114942528735633</v>
      </c>
      <c r="K241" s="1" t="s">
        <v>88</v>
      </c>
    </row>
    <row r="242" spans="1:11" ht="15" customHeight="1" x14ac:dyDescent="0.3">
      <c r="A242" s="1" t="s">
        <v>64</v>
      </c>
      <c r="B242" s="1" t="s">
        <v>58</v>
      </c>
      <c r="D242" s="1">
        <v>514</v>
      </c>
      <c r="E242" s="1">
        <v>528</v>
      </c>
      <c r="F242" s="1">
        <f t="shared" si="57"/>
        <v>521</v>
      </c>
      <c r="G242" s="1">
        <f t="shared" si="58"/>
        <v>-14</v>
      </c>
      <c r="H242" s="13">
        <f t="shared" si="55"/>
        <v>-2.6515151515151516E-2</v>
      </c>
      <c r="I242" s="13"/>
      <c r="J242" s="13">
        <f t="shared" si="56"/>
        <v>0.97348484848484851</v>
      </c>
      <c r="K242" s="1" t="s">
        <v>88</v>
      </c>
    </row>
    <row r="243" spans="1:11" ht="15" customHeight="1" x14ac:dyDescent="0.3">
      <c r="A243" s="1" t="s">
        <v>65</v>
      </c>
      <c r="B243" s="1" t="s">
        <v>58</v>
      </c>
      <c r="D243" s="1">
        <v>890</v>
      </c>
      <c r="E243" s="1">
        <v>897</v>
      </c>
      <c r="F243" s="12">
        <f t="shared" si="57"/>
        <v>893.5</v>
      </c>
      <c r="G243" s="1">
        <f t="shared" si="58"/>
        <v>-7</v>
      </c>
      <c r="H243" s="13">
        <f t="shared" si="55"/>
        <v>-7.803790412486065E-3</v>
      </c>
      <c r="I243" s="13"/>
      <c r="J243" s="13">
        <f t="shared" si="56"/>
        <v>0.99219620958751398</v>
      </c>
      <c r="K243" s="1" t="s">
        <v>88</v>
      </c>
    </row>
    <row r="244" spans="1:11" ht="15" customHeight="1" x14ac:dyDescent="0.3">
      <c r="A244" s="1" t="s">
        <v>66</v>
      </c>
      <c r="D244" s="1">
        <v>689</v>
      </c>
      <c r="E244" s="1">
        <v>693</v>
      </c>
      <c r="F244" s="1">
        <f t="shared" si="57"/>
        <v>691</v>
      </c>
      <c r="G244" s="1">
        <f t="shared" si="58"/>
        <v>-4</v>
      </c>
      <c r="H244" s="13">
        <f t="shared" si="55"/>
        <v>-5.772005772005772E-3</v>
      </c>
      <c r="I244" s="13"/>
      <c r="J244" s="13">
        <f t="shared" si="56"/>
        <v>0.99422799422799424</v>
      </c>
      <c r="K244" s="1" t="s">
        <v>88</v>
      </c>
    </row>
    <row r="245" spans="1:11" ht="15" customHeight="1" x14ac:dyDescent="0.3">
      <c r="A245" s="1" t="s">
        <v>67</v>
      </c>
      <c r="D245" s="1">
        <v>662</v>
      </c>
      <c r="E245" s="1">
        <v>661</v>
      </c>
      <c r="F245" s="12">
        <f t="shared" si="57"/>
        <v>661.5</v>
      </c>
      <c r="G245" s="1">
        <f t="shared" si="58"/>
        <v>1</v>
      </c>
      <c r="H245" s="13">
        <f t="shared" si="55"/>
        <v>1.5128593040847202E-3</v>
      </c>
      <c r="I245" s="13"/>
      <c r="J245" s="13">
        <f t="shared" si="56"/>
        <v>1.0015128593040847</v>
      </c>
      <c r="K245" s="1" t="s">
        <v>88</v>
      </c>
    </row>
    <row r="246" spans="1:11" ht="15" customHeight="1" x14ac:dyDescent="0.3">
      <c r="A246" s="1" t="s">
        <v>68</v>
      </c>
      <c r="D246" s="1">
        <v>1484</v>
      </c>
      <c r="E246" s="1">
        <v>1460</v>
      </c>
      <c r="F246" s="1">
        <f t="shared" si="57"/>
        <v>1472</v>
      </c>
      <c r="G246" s="1">
        <f t="shared" si="58"/>
        <v>24</v>
      </c>
      <c r="H246" s="13">
        <f t="shared" si="55"/>
        <v>1.643835616438356E-2</v>
      </c>
      <c r="I246" s="13"/>
      <c r="J246" s="13">
        <f t="shared" si="56"/>
        <v>1.0164383561643835</v>
      </c>
      <c r="K246" s="1" t="s">
        <v>88</v>
      </c>
    </row>
    <row r="247" spans="1:11" ht="15" customHeight="1" x14ac:dyDescent="0.3">
      <c r="A247" s="1" t="s">
        <v>69</v>
      </c>
      <c r="D247" s="1">
        <v>625</v>
      </c>
      <c r="E247" s="1">
        <v>623</v>
      </c>
      <c r="F247" s="1">
        <f t="shared" si="57"/>
        <v>624</v>
      </c>
      <c r="G247" s="1">
        <f t="shared" si="58"/>
        <v>2</v>
      </c>
      <c r="H247" s="13">
        <f t="shared" si="55"/>
        <v>3.2102728731942215E-3</v>
      </c>
      <c r="I247" s="13"/>
      <c r="J247" s="13">
        <f t="shared" si="56"/>
        <v>1.0032102728731942</v>
      </c>
      <c r="K247" s="1" t="s">
        <v>88</v>
      </c>
    </row>
    <row r="248" spans="1:11" ht="15" customHeight="1" x14ac:dyDescent="0.3">
      <c r="A248" s="1" t="s">
        <v>70</v>
      </c>
      <c r="B248" s="1" t="s">
        <v>71</v>
      </c>
      <c r="D248" s="1">
        <v>735</v>
      </c>
      <c r="E248" s="1">
        <v>743</v>
      </c>
      <c r="F248" s="1">
        <f t="shared" si="57"/>
        <v>739</v>
      </c>
      <c r="G248" s="1">
        <f t="shared" si="58"/>
        <v>-8</v>
      </c>
      <c r="H248" s="13">
        <f t="shared" si="55"/>
        <v>-1.0767160161507403E-2</v>
      </c>
      <c r="I248" s="13"/>
      <c r="J248" s="13">
        <f t="shared" si="56"/>
        <v>0.98923283983849264</v>
      </c>
      <c r="K248" s="1" t="s">
        <v>88</v>
      </c>
    </row>
    <row r="249" spans="1:11" ht="15" customHeight="1" x14ac:dyDescent="0.3">
      <c r="A249" s="1" t="s">
        <v>72</v>
      </c>
      <c r="B249" s="1" t="s">
        <v>71</v>
      </c>
      <c r="D249" s="1">
        <v>425</v>
      </c>
      <c r="E249" s="1">
        <v>429</v>
      </c>
      <c r="F249" s="1">
        <f t="shared" si="57"/>
        <v>427</v>
      </c>
      <c r="G249" s="1">
        <f t="shared" si="58"/>
        <v>-4</v>
      </c>
      <c r="H249" s="13">
        <f t="shared" si="55"/>
        <v>-9.324009324009324E-3</v>
      </c>
      <c r="I249" s="13"/>
      <c r="J249" s="13">
        <f t="shared" si="56"/>
        <v>0.99067599067599066</v>
      </c>
      <c r="K249" s="1" t="s">
        <v>88</v>
      </c>
    </row>
    <row r="250" spans="1:11" ht="15" customHeight="1" x14ac:dyDescent="0.3">
      <c r="A250" s="1" t="s">
        <v>73</v>
      </c>
      <c r="B250" s="1" t="s">
        <v>71</v>
      </c>
      <c r="D250" s="1">
        <v>700</v>
      </c>
      <c r="E250" s="1">
        <v>699</v>
      </c>
      <c r="F250" s="12">
        <f t="shared" si="57"/>
        <v>699.5</v>
      </c>
      <c r="G250" s="1">
        <f t="shared" si="58"/>
        <v>1</v>
      </c>
      <c r="H250" s="13">
        <f t="shared" si="55"/>
        <v>1.4306151645207439E-3</v>
      </c>
      <c r="I250" s="13"/>
      <c r="J250" s="13">
        <f t="shared" si="56"/>
        <v>1.0014306151645207</v>
      </c>
      <c r="K250" s="1" t="s">
        <v>88</v>
      </c>
    </row>
    <row r="251" spans="1:11" ht="15" customHeight="1" x14ac:dyDescent="0.3">
      <c r="A251" s="1" t="s">
        <v>74</v>
      </c>
      <c r="B251" s="1" t="s">
        <v>71</v>
      </c>
      <c r="D251" s="1">
        <v>876</v>
      </c>
      <c r="E251" s="1">
        <v>825</v>
      </c>
      <c r="F251" s="12">
        <f t="shared" si="57"/>
        <v>850.5</v>
      </c>
      <c r="G251" s="1">
        <f t="shared" si="58"/>
        <v>51</v>
      </c>
      <c r="H251" s="13">
        <f t="shared" si="55"/>
        <v>6.1818181818181821E-2</v>
      </c>
      <c r="I251" s="13"/>
      <c r="J251" s="13">
        <f t="shared" si="56"/>
        <v>1.0618181818181818</v>
      </c>
      <c r="K251" s="1" t="s">
        <v>88</v>
      </c>
    </row>
    <row r="252" spans="1:11" ht="15" customHeight="1" x14ac:dyDescent="0.3">
      <c r="A252" s="1" t="s">
        <v>75</v>
      </c>
      <c r="D252" s="1">
        <v>159</v>
      </c>
      <c r="E252" s="1">
        <v>149</v>
      </c>
      <c r="F252" s="1">
        <f t="shared" si="57"/>
        <v>154</v>
      </c>
      <c r="G252" s="1">
        <f t="shared" si="58"/>
        <v>10</v>
      </c>
      <c r="H252" s="13">
        <f t="shared" si="55"/>
        <v>6.7114093959731544E-2</v>
      </c>
      <c r="I252" s="13"/>
      <c r="J252" s="13">
        <f t="shared" si="56"/>
        <v>1.0671140939597314</v>
      </c>
      <c r="K252" s="1" t="s">
        <v>88</v>
      </c>
    </row>
    <row r="253" spans="1:11" ht="15" customHeight="1" x14ac:dyDescent="0.3">
      <c r="A253" s="1" t="s">
        <v>76</v>
      </c>
      <c r="D253" s="1">
        <v>515</v>
      </c>
      <c r="E253" s="1">
        <v>534</v>
      </c>
      <c r="F253" s="12">
        <f t="shared" si="57"/>
        <v>524.5</v>
      </c>
      <c r="G253" s="1">
        <f t="shared" si="58"/>
        <v>-19</v>
      </c>
      <c r="H253" s="13">
        <f t="shared" si="55"/>
        <v>-3.5580524344569285E-2</v>
      </c>
      <c r="I253" s="13"/>
      <c r="J253" s="13">
        <f t="shared" si="56"/>
        <v>0.96441947565543074</v>
      </c>
      <c r="K253" s="1" t="s">
        <v>88</v>
      </c>
    </row>
    <row r="254" spans="1:11" ht="15" customHeight="1" x14ac:dyDescent="0.3">
      <c r="A254" s="1" t="s">
        <v>77</v>
      </c>
      <c r="D254" s="1">
        <v>2217</v>
      </c>
      <c r="E254" s="1">
        <v>2225</v>
      </c>
      <c r="F254" s="1">
        <f t="shared" si="57"/>
        <v>2221</v>
      </c>
      <c r="G254" s="1">
        <f t="shared" si="58"/>
        <v>-8</v>
      </c>
      <c r="H254" s="13">
        <f t="shared" si="55"/>
        <v>-3.5955056179775282E-3</v>
      </c>
      <c r="I254" s="13"/>
      <c r="J254" s="13">
        <f t="shared" si="56"/>
        <v>0.9964044943820225</v>
      </c>
      <c r="K254" s="1" t="s">
        <v>88</v>
      </c>
    </row>
    <row r="255" spans="1:11" ht="15" customHeight="1" x14ac:dyDescent="0.3">
      <c r="A255" s="1" t="s">
        <v>78</v>
      </c>
      <c r="D255" s="1">
        <v>482</v>
      </c>
      <c r="E255" s="1">
        <v>490</v>
      </c>
      <c r="F255" s="1">
        <f t="shared" si="57"/>
        <v>486</v>
      </c>
      <c r="G255" s="1">
        <f t="shared" si="58"/>
        <v>-8</v>
      </c>
      <c r="H255" s="13">
        <f t="shared" si="55"/>
        <v>-1.6326530612244899E-2</v>
      </c>
      <c r="I255" s="13"/>
      <c r="J255" s="13">
        <f t="shared" si="56"/>
        <v>0.98367346938775513</v>
      </c>
      <c r="K255" s="1" t="s">
        <v>88</v>
      </c>
    </row>
    <row r="256" spans="1:11" ht="15" customHeight="1" x14ac:dyDescent="0.3">
      <c r="A256" s="3" t="s">
        <v>79</v>
      </c>
      <c r="D256" s="1">
        <v>1141</v>
      </c>
      <c r="E256" s="1">
        <v>1135</v>
      </c>
      <c r="F256" s="1">
        <f t="shared" si="57"/>
        <v>1138</v>
      </c>
      <c r="G256" s="1">
        <f t="shared" si="58"/>
        <v>6</v>
      </c>
      <c r="H256" s="13">
        <f t="shared" si="55"/>
        <v>5.2863436123348016E-3</v>
      </c>
      <c r="I256" s="13"/>
      <c r="J256" s="13">
        <f t="shared" si="56"/>
        <v>1.0052863436123347</v>
      </c>
      <c r="K256" s="1" t="s">
        <v>88</v>
      </c>
    </row>
    <row r="257" spans="1:11" ht="15" customHeight="1" x14ac:dyDescent="0.3">
      <c r="A257" s="1" t="s">
        <v>80</v>
      </c>
      <c r="D257" s="1">
        <v>504</v>
      </c>
      <c r="E257" s="1">
        <v>511</v>
      </c>
      <c r="F257" s="12">
        <f t="shared" si="57"/>
        <v>507.5</v>
      </c>
      <c r="G257" s="1">
        <f t="shared" si="58"/>
        <v>-7</v>
      </c>
      <c r="H257" s="13">
        <f t="shared" si="55"/>
        <v>-1.3698630136986301E-2</v>
      </c>
      <c r="I257" s="13"/>
      <c r="J257" s="13">
        <f t="shared" si="56"/>
        <v>0.98630136986301364</v>
      </c>
      <c r="K257" s="1" t="s">
        <v>88</v>
      </c>
    </row>
    <row r="258" spans="1:11" ht="15" customHeight="1" x14ac:dyDescent="0.3">
      <c r="A258" s="1" t="s">
        <v>6</v>
      </c>
      <c r="B258" s="2"/>
      <c r="D258" s="1">
        <v>302</v>
      </c>
      <c r="E258" s="1">
        <v>298</v>
      </c>
      <c r="F258" s="1">
        <f t="shared" si="57"/>
        <v>300</v>
      </c>
      <c r="G258" s="1">
        <f t="shared" si="58"/>
        <v>4</v>
      </c>
      <c r="H258" s="13">
        <f t="shared" si="55"/>
        <v>1.3422818791946308E-2</v>
      </c>
      <c r="J258" s="13">
        <f t="shared" si="56"/>
        <v>1.0134228187919463</v>
      </c>
      <c r="K258" s="1" t="s">
        <v>91</v>
      </c>
    </row>
    <row r="259" spans="1:11" ht="15" customHeight="1" x14ac:dyDescent="0.3">
      <c r="A259" s="1" t="s">
        <v>7</v>
      </c>
      <c r="D259" s="1">
        <v>810</v>
      </c>
      <c r="E259" s="1">
        <v>804</v>
      </c>
      <c r="F259" s="1">
        <f t="shared" ref="F259:F262" si="59">(E259+D259)/2</f>
        <v>807</v>
      </c>
      <c r="G259" s="1">
        <f t="shared" ref="G259:G262" si="60">D259-E259</f>
        <v>6</v>
      </c>
      <c r="H259" s="13">
        <f t="shared" ref="H259:H262" si="61">G259/E259</f>
        <v>7.462686567164179E-3</v>
      </c>
      <c r="J259" s="13">
        <f t="shared" ref="J259:J262" si="62">D259/E259</f>
        <v>1.0074626865671641</v>
      </c>
      <c r="K259" s="1" t="s">
        <v>91</v>
      </c>
    </row>
    <row r="260" spans="1:11" ht="15" customHeight="1" x14ac:dyDescent="0.3">
      <c r="A260" s="1" t="s">
        <v>8</v>
      </c>
      <c r="B260" s="1" t="s">
        <v>9</v>
      </c>
      <c r="D260" s="1">
        <v>924</v>
      </c>
      <c r="E260" s="1">
        <v>967</v>
      </c>
      <c r="F260" s="1">
        <f t="shared" si="59"/>
        <v>945.5</v>
      </c>
      <c r="G260" s="1">
        <f t="shared" si="60"/>
        <v>-43</v>
      </c>
      <c r="H260" s="13">
        <f t="shared" si="61"/>
        <v>-4.4467425025853151E-2</v>
      </c>
      <c r="J260" s="13">
        <f t="shared" si="62"/>
        <v>0.9555325749741469</v>
      </c>
      <c r="K260" s="1" t="s">
        <v>91</v>
      </c>
    </row>
    <row r="261" spans="1:11" ht="15" customHeight="1" x14ac:dyDescent="0.3">
      <c r="A261" s="1" t="s">
        <v>83</v>
      </c>
      <c r="B261" s="1" t="s">
        <v>9</v>
      </c>
      <c r="D261" s="1">
        <v>676</v>
      </c>
      <c r="E261" s="1">
        <v>744</v>
      </c>
      <c r="F261" s="1">
        <f t="shared" si="59"/>
        <v>710</v>
      </c>
      <c r="G261" s="1">
        <f t="shared" si="60"/>
        <v>-68</v>
      </c>
      <c r="H261" s="13">
        <f t="shared" si="61"/>
        <v>-9.1397849462365593E-2</v>
      </c>
      <c r="J261" s="13">
        <f t="shared" si="62"/>
        <v>0.90860215053763438</v>
      </c>
      <c r="K261" s="1" t="s">
        <v>91</v>
      </c>
    </row>
    <row r="262" spans="1:11" ht="15" customHeight="1" x14ac:dyDescent="0.3">
      <c r="A262" s="1" t="s">
        <v>10</v>
      </c>
      <c r="D262" s="1">
        <v>753</v>
      </c>
      <c r="E262" s="1">
        <v>738</v>
      </c>
      <c r="F262" s="12">
        <f t="shared" si="59"/>
        <v>745.5</v>
      </c>
      <c r="G262" s="1">
        <f t="shared" si="60"/>
        <v>15</v>
      </c>
      <c r="H262" s="13">
        <f t="shared" si="61"/>
        <v>2.032520325203252E-2</v>
      </c>
      <c r="J262" s="13">
        <f t="shared" si="62"/>
        <v>1.0203252032520325</v>
      </c>
      <c r="K262" s="1" t="s">
        <v>91</v>
      </c>
    </row>
    <row r="263" spans="1:11" ht="15" customHeight="1" x14ac:dyDescent="0.3">
      <c r="A263" s="1" t="s">
        <v>11</v>
      </c>
      <c r="D263" s="1">
        <v>997</v>
      </c>
      <c r="E263" s="1">
        <v>1008</v>
      </c>
      <c r="F263" s="12">
        <f t="shared" ref="F263:F323" si="63">(E263+D263)/2</f>
        <v>1002.5</v>
      </c>
      <c r="G263" s="1">
        <f t="shared" ref="G263:G321" si="64">D263-E263</f>
        <v>-11</v>
      </c>
      <c r="H263" s="13">
        <f t="shared" ref="H263:H321" si="65">G263/E263</f>
        <v>-1.0912698412698412E-2</v>
      </c>
      <c r="J263" s="13">
        <f t="shared" ref="J263:J323" si="66">D263/E263</f>
        <v>0.98908730158730163</v>
      </c>
      <c r="K263" s="1" t="s">
        <v>91</v>
      </c>
    </row>
    <row r="264" spans="1:11" ht="15" customHeight="1" x14ac:dyDescent="0.3">
      <c r="A264" s="1" t="s">
        <v>12</v>
      </c>
      <c r="D264" s="1">
        <v>857</v>
      </c>
      <c r="E264" s="1">
        <v>854</v>
      </c>
      <c r="F264" s="12">
        <f t="shared" si="63"/>
        <v>855.5</v>
      </c>
      <c r="G264" s="1">
        <f t="shared" si="64"/>
        <v>3</v>
      </c>
      <c r="H264" s="13">
        <f t="shared" si="65"/>
        <v>3.5128805620608899E-3</v>
      </c>
      <c r="J264" s="13">
        <f t="shared" si="66"/>
        <v>1.0035128805620608</v>
      </c>
      <c r="K264" s="1" t="s">
        <v>91</v>
      </c>
    </row>
    <row r="265" spans="1:11" ht="15" customHeight="1" x14ac:dyDescent="0.3">
      <c r="A265" s="1" t="s">
        <v>13</v>
      </c>
      <c r="B265" s="1" t="s">
        <v>14</v>
      </c>
      <c r="D265" s="1">
        <v>203</v>
      </c>
      <c r="E265" s="1">
        <v>220</v>
      </c>
      <c r="F265" s="12">
        <f t="shared" si="63"/>
        <v>211.5</v>
      </c>
      <c r="G265" s="1">
        <f t="shared" si="64"/>
        <v>-17</v>
      </c>
      <c r="H265" s="13">
        <f t="shared" si="65"/>
        <v>-7.7272727272727271E-2</v>
      </c>
      <c r="J265" s="13">
        <f t="shared" si="66"/>
        <v>0.92272727272727273</v>
      </c>
      <c r="K265" s="1" t="s">
        <v>91</v>
      </c>
    </row>
    <row r="266" spans="1:11" ht="15" customHeight="1" x14ac:dyDescent="0.3">
      <c r="A266" s="1" t="s">
        <v>15</v>
      </c>
      <c r="B266" s="1" t="s">
        <v>14</v>
      </c>
      <c r="D266" s="1">
        <v>549</v>
      </c>
      <c r="E266" s="1">
        <v>538</v>
      </c>
      <c r="F266" s="12">
        <f t="shared" si="63"/>
        <v>543.5</v>
      </c>
      <c r="G266" s="1">
        <f t="shared" si="64"/>
        <v>11</v>
      </c>
      <c r="H266" s="13">
        <f t="shared" si="65"/>
        <v>2.0446096654275093E-2</v>
      </c>
      <c r="J266" s="13">
        <f t="shared" si="66"/>
        <v>1.020446096654275</v>
      </c>
      <c r="K266" s="1" t="s">
        <v>91</v>
      </c>
    </row>
    <row r="267" spans="1:11" ht="15" customHeight="1" x14ac:dyDescent="0.3">
      <c r="A267" s="1" t="s">
        <v>16</v>
      </c>
      <c r="B267" s="1" t="s">
        <v>17</v>
      </c>
      <c r="D267" s="1">
        <v>606</v>
      </c>
      <c r="E267" s="1">
        <v>618</v>
      </c>
      <c r="F267" s="12">
        <f t="shared" si="63"/>
        <v>612</v>
      </c>
      <c r="G267" s="1">
        <f t="shared" si="64"/>
        <v>-12</v>
      </c>
      <c r="H267" s="13">
        <f t="shared" si="65"/>
        <v>-1.9417475728155338E-2</v>
      </c>
      <c r="J267" s="13">
        <f t="shared" si="66"/>
        <v>0.98058252427184467</v>
      </c>
      <c r="K267" s="1" t="s">
        <v>91</v>
      </c>
    </row>
    <row r="268" spans="1:11" ht="15" customHeight="1" x14ac:dyDescent="0.3">
      <c r="A268" s="1" t="s">
        <v>18</v>
      </c>
      <c r="B268" s="1" t="s">
        <v>17</v>
      </c>
      <c r="D268" s="1">
        <v>735</v>
      </c>
      <c r="E268" s="1">
        <v>756</v>
      </c>
      <c r="F268" s="12">
        <f t="shared" si="63"/>
        <v>745.5</v>
      </c>
      <c r="G268" s="1">
        <f t="shared" si="64"/>
        <v>-21</v>
      </c>
      <c r="H268" s="13">
        <f t="shared" si="65"/>
        <v>-2.7777777777777776E-2</v>
      </c>
      <c r="J268" s="13">
        <f t="shared" si="66"/>
        <v>0.97222222222222221</v>
      </c>
      <c r="K268" s="1" t="s">
        <v>91</v>
      </c>
    </row>
    <row r="269" spans="1:11" ht="15" customHeight="1" x14ac:dyDescent="0.3">
      <c r="A269" s="1" t="s">
        <v>19</v>
      </c>
      <c r="B269" s="1" t="s">
        <v>17</v>
      </c>
      <c r="D269" s="1">
        <v>577</v>
      </c>
      <c r="E269" s="1">
        <v>576</v>
      </c>
      <c r="F269" s="12">
        <f t="shared" si="63"/>
        <v>576.5</v>
      </c>
      <c r="G269" s="1">
        <f t="shared" si="64"/>
        <v>1</v>
      </c>
      <c r="H269" s="13">
        <f t="shared" si="65"/>
        <v>1.736111111111111E-3</v>
      </c>
      <c r="J269" s="13">
        <f t="shared" si="66"/>
        <v>1.0017361111111112</v>
      </c>
      <c r="K269" s="1" t="s">
        <v>91</v>
      </c>
    </row>
    <row r="270" spans="1:11" ht="15" customHeight="1" x14ac:dyDescent="0.3">
      <c r="A270" s="1" t="s">
        <v>20</v>
      </c>
      <c r="B270" s="1" t="s">
        <v>17</v>
      </c>
      <c r="D270" s="1">
        <v>161</v>
      </c>
      <c r="E270" s="1">
        <v>157</v>
      </c>
      <c r="F270" s="12">
        <f t="shared" si="63"/>
        <v>159</v>
      </c>
      <c r="G270" s="1">
        <f t="shared" si="64"/>
        <v>4</v>
      </c>
      <c r="H270" s="13">
        <f t="shared" si="65"/>
        <v>2.5477707006369428E-2</v>
      </c>
      <c r="J270" s="13">
        <f t="shared" si="66"/>
        <v>1.0254777070063694</v>
      </c>
      <c r="K270" s="1" t="s">
        <v>91</v>
      </c>
    </row>
    <row r="271" spans="1:11" ht="15" customHeight="1" x14ac:dyDescent="0.3">
      <c r="A271" s="1" t="s">
        <v>21</v>
      </c>
      <c r="B271" s="1" t="s">
        <v>17</v>
      </c>
      <c r="D271" s="1">
        <v>70</v>
      </c>
      <c r="E271" s="1">
        <v>74</v>
      </c>
      <c r="F271" s="12">
        <f t="shared" si="63"/>
        <v>72</v>
      </c>
      <c r="G271" s="1">
        <f t="shared" si="64"/>
        <v>-4</v>
      </c>
      <c r="H271" s="13">
        <f t="shared" si="65"/>
        <v>-5.4054054054054057E-2</v>
      </c>
      <c r="J271" s="13">
        <f t="shared" si="66"/>
        <v>0.94594594594594594</v>
      </c>
      <c r="K271" s="1" t="s">
        <v>91</v>
      </c>
    </row>
    <row r="272" spans="1:11" ht="15" customHeight="1" x14ac:dyDescent="0.3">
      <c r="A272" s="1" t="s">
        <v>22</v>
      </c>
      <c r="B272" s="1" t="s">
        <v>23</v>
      </c>
      <c r="D272" s="1">
        <v>402</v>
      </c>
      <c r="E272" s="1">
        <v>378</v>
      </c>
      <c r="F272" s="12">
        <f t="shared" si="63"/>
        <v>390</v>
      </c>
      <c r="G272" s="1">
        <f t="shared" si="64"/>
        <v>24</v>
      </c>
      <c r="H272" s="13">
        <f t="shared" si="65"/>
        <v>6.3492063492063489E-2</v>
      </c>
      <c r="J272" s="13">
        <f t="shared" si="66"/>
        <v>1.0634920634920635</v>
      </c>
      <c r="K272" s="1" t="s">
        <v>91</v>
      </c>
    </row>
    <row r="273" spans="1:11" ht="15" customHeight="1" x14ac:dyDescent="0.3">
      <c r="A273" s="1" t="s">
        <v>24</v>
      </c>
      <c r="B273" s="1" t="s">
        <v>23</v>
      </c>
      <c r="D273" s="1">
        <v>828</v>
      </c>
      <c r="E273" s="1">
        <v>827</v>
      </c>
      <c r="F273" s="12">
        <f t="shared" si="63"/>
        <v>827.5</v>
      </c>
      <c r="G273" s="1">
        <f t="shared" si="64"/>
        <v>1</v>
      </c>
      <c r="H273" s="13">
        <f t="shared" si="65"/>
        <v>1.2091898428053204E-3</v>
      </c>
      <c r="J273" s="13">
        <f t="shared" si="66"/>
        <v>1.0012091898428053</v>
      </c>
      <c r="K273" s="1" t="s">
        <v>91</v>
      </c>
    </row>
    <row r="274" spans="1:11" ht="15" customHeight="1" x14ac:dyDescent="0.3">
      <c r="A274" s="1" t="s">
        <v>25</v>
      </c>
      <c r="B274" s="1" t="s">
        <v>23</v>
      </c>
      <c r="D274" s="1">
        <v>808</v>
      </c>
      <c r="E274" s="1">
        <v>790</v>
      </c>
      <c r="F274" s="12">
        <f t="shared" si="63"/>
        <v>799</v>
      </c>
      <c r="G274" s="1">
        <f t="shared" si="64"/>
        <v>18</v>
      </c>
      <c r="H274" s="13">
        <f t="shared" si="65"/>
        <v>2.2784810126582278E-2</v>
      </c>
      <c r="J274" s="13">
        <f t="shared" si="66"/>
        <v>1.0227848101265822</v>
      </c>
      <c r="K274" s="1" t="s">
        <v>91</v>
      </c>
    </row>
    <row r="275" spans="1:11" ht="15" customHeight="1" x14ac:dyDescent="0.3">
      <c r="A275" s="1" t="s">
        <v>26</v>
      </c>
      <c r="B275" s="1" t="s">
        <v>27</v>
      </c>
      <c r="D275" s="1">
        <v>806</v>
      </c>
      <c r="E275" s="1">
        <v>805</v>
      </c>
      <c r="F275" s="12">
        <f t="shared" si="63"/>
        <v>805.5</v>
      </c>
      <c r="G275" s="1">
        <f t="shared" si="64"/>
        <v>1</v>
      </c>
      <c r="H275" s="13">
        <f t="shared" si="65"/>
        <v>1.2422360248447205E-3</v>
      </c>
      <c r="J275" s="13">
        <f t="shared" si="66"/>
        <v>1.0012422360248447</v>
      </c>
      <c r="K275" s="1" t="s">
        <v>91</v>
      </c>
    </row>
    <row r="276" spans="1:11" ht="15" customHeight="1" x14ac:dyDescent="0.3">
      <c r="A276" s="1" t="s">
        <v>28</v>
      </c>
      <c r="B276" s="1" t="s">
        <v>29</v>
      </c>
      <c r="D276" s="1">
        <v>347</v>
      </c>
      <c r="E276" s="1">
        <v>347</v>
      </c>
      <c r="F276" s="12">
        <f t="shared" si="63"/>
        <v>347</v>
      </c>
      <c r="G276" s="1">
        <f t="shared" si="64"/>
        <v>0</v>
      </c>
      <c r="H276" s="13">
        <f t="shared" si="65"/>
        <v>0</v>
      </c>
      <c r="J276" s="13">
        <f t="shared" si="66"/>
        <v>1</v>
      </c>
      <c r="K276" s="1" t="s">
        <v>91</v>
      </c>
    </row>
    <row r="277" spans="1:11" ht="15" customHeight="1" x14ac:dyDescent="0.3">
      <c r="A277" s="6" t="s">
        <v>30</v>
      </c>
      <c r="B277" s="1" t="s">
        <v>29</v>
      </c>
      <c r="D277" s="1">
        <v>382</v>
      </c>
      <c r="E277" s="1">
        <v>390</v>
      </c>
      <c r="F277" s="12">
        <f t="shared" si="63"/>
        <v>386</v>
      </c>
      <c r="G277" s="1">
        <f t="shared" si="64"/>
        <v>-8</v>
      </c>
      <c r="H277" s="13">
        <f t="shared" si="65"/>
        <v>-2.0512820512820513E-2</v>
      </c>
      <c r="J277" s="13">
        <f t="shared" si="66"/>
        <v>0.97948717948717945</v>
      </c>
      <c r="K277" s="1" t="s">
        <v>91</v>
      </c>
    </row>
    <row r="278" spans="1:11" ht="15" customHeight="1" x14ac:dyDescent="0.35">
      <c r="A278" s="5" t="s">
        <v>31</v>
      </c>
      <c r="B278" s="1" t="s">
        <v>29</v>
      </c>
      <c r="D278" s="1">
        <v>434</v>
      </c>
      <c r="E278" s="1">
        <v>431</v>
      </c>
      <c r="F278" s="12">
        <f t="shared" si="63"/>
        <v>432.5</v>
      </c>
      <c r="G278" s="1">
        <f t="shared" si="64"/>
        <v>3</v>
      </c>
      <c r="H278" s="13">
        <f t="shared" si="65"/>
        <v>6.9605568445475635E-3</v>
      </c>
      <c r="J278" s="13">
        <f t="shared" si="66"/>
        <v>1.0069605568445477</v>
      </c>
      <c r="K278" s="1" t="s">
        <v>91</v>
      </c>
    </row>
    <row r="279" spans="1:11" ht="15" customHeight="1" x14ac:dyDescent="0.4">
      <c r="A279" s="4" t="s">
        <v>32</v>
      </c>
      <c r="B279" s="1" t="s">
        <v>29</v>
      </c>
      <c r="D279" s="1">
        <v>407</v>
      </c>
      <c r="E279" s="1">
        <v>390</v>
      </c>
      <c r="F279" s="12">
        <f t="shared" si="63"/>
        <v>398.5</v>
      </c>
      <c r="G279" s="1">
        <f t="shared" si="64"/>
        <v>17</v>
      </c>
      <c r="H279" s="13">
        <f t="shared" si="65"/>
        <v>4.3589743589743588E-2</v>
      </c>
      <c r="J279" s="13">
        <f t="shared" si="66"/>
        <v>1.0435897435897437</v>
      </c>
      <c r="K279" s="1" t="s">
        <v>91</v>
      </c>
    </row>
    <row r="280" spans="1:11" ht="15" customHeight="1" x14ac:dyDescent="0.3">
      <c r="A280" s="1" t="s">
        <v>33</v>
      </c>
      <c r="D280" s="1">
        <v>311</v>
      </c>
      <c r="E280" s="1">
        <v>305</v>
      </c>
      <c r="F280" s="12">
        <f t="shared" si="63"/>
        <v>308</v>
      </c>
      <c r="G280" s="1">
        <f t="shared" si="64"/>
        <v>6</v>
      </c>
      <c r="H280" s="13">
        <f t="shared" si="65"/>
        <v>1.9672131147540985E-2</v>
      </c>
      <c r="J280" s="13">
        <f t="shared" si="66"/>
        <v>1.019672131147541</v>
      </c>
      <c r="K280" s="1" t="s">
        <v>91</v>
      </c>
    </row>
    <row r="281" spans="1:11" ht="15" customHeight="1" x14ac:dyDescent="0.3">
      <c r="A281" s="1" t="s">
        <v>34</v>
      </c>
      <c r="B281" s="1" t="s">
        <v>34</v>
      </c>
      <c r="D281" s="1">
        <v>126</v>
      </c>
      <c r="E281" s="1">
        <v>137</v>
      </c>
      <c r="F281" s="12">
        <f t="shared" si="63"/>
        <v>131.5</v>
      </c>
      <c r="G281" s="1">
        <f t="shared" si="64"/>
        <v>-11</v>
      </c>
      <c r="H281" s="13">
        <f t="shared" si="65"/>
        <v>-8.0291970802919707E-2</v>
      </c>
      <c r="J281" s="13">
        <f t="shared" si="66"/>
        <v>0.91970802919708028</v>
      </c>
      <c r="K281" s="1" t="s">
        <v>91</v>
      </c>
    </row>
    <row r="282" spans="1:11" ht="15" customHeight="1" x14ac:dyDescent="0.3">
      <c r="A282" s="1" t="s">
        <v>35</v>
      </c>
      <c r="B282" s="1" t="s">
        <v>36</v>
      </c>
      <c r="D282" s="1">
        <v>106</v>
      </c>
      <c r="E282" s="1">
        <v>124</v>
      </c>
      <c r="F282" s="12">
        <f t="shared" si="63"/>
        <v>115</v>
      </c>
      <c r="G282" s="1">
        <f t="shared" si="64"/>
        <v>-18</v>
      </c>
      <c r="H282" s="13">
        <f t="shared" si="65"/>
        <v>-0.14516129032258066</v>
      </c>
      <c r="J282" s="13">
        <f t="shared" si="66"/>
        <v>0.85483870967741937</v>
      </c>
      <c r="K282" s="1" t="s">
        <v>91</v>
      </c>
    </row>
    <row r="283" spans="1:11" ht="15" customHeight="1" x14ac:dyDescent="0.3">
      <c r="A283" s="1" t="s">
        <v>37</v>
      </c>
      <c r="B283" s="1" t="s">
        <v>36</v>
      </c>
      <c r="D283" s="1">
        <v>120</v>
      </c>
      <c r="E283" s="1">
        <v>130</v>
      </c>
      <c r="F283" s="12">
        <f t="shared" si="63"/>
        <v>125</v>
      </c>
      <c r="G283" s="1">
        <f t="shared" si="64"/>
        <v>-10</v>
      </c>
      <c r="H283" s="13">
        <f t="shared" si="65"/>
        <v>-7.6923076923076927E-2</v>
      </c>
      <c r="J283" s="13">
        <f t="shared" si="66"/>
        <v>0.92307692307692313</v>
      </c>
      <c r="K283" s="1" t="s">
        <v>91</v>
      </c>
    </row>
    <row r="284" spans="1:11" ht="15" customHeight="1" x14ac:dyDescent="0.3">
      <c r="A284" s="1" t="s">
        <v>38</v>
      </c>
      <c r="B284" s="1" t="s">
        <v>38</v>
      </c>
      <c r="D284" s="1">
        <v>437</v>
      </c>
      <c r="E284" s="1">
        <v>451</v>
      </c>
      <c r="F284" s="12">
        <f t="shared" si="63"/>
        <v>444</v>
      </c>
      <c r="G284" s="1">
        <f t="shared" si="64"/>
        <v>-14</v>
      </c>
      <c r="H284" s="13">
        <f t="shared" si="65"/>
        <v>-3.1042128603104215E-2</v>
      </c>
      <c r="J284" s="13">
        <f t="shared" si="66"/>
        <v>0.96895787139689582</v>
      </c>
      <c r="K284" s="1" t="s">
        <v>91</v>
      </c>
    </row>
    <row r="285" spans="1:11" ht="15" customHeight="1" x14ac:dyDescent="0.3">
      <c r="A285" s="1" t="s">
        <v>39</v>
      </c>
      <c r="B285" s="1" t="s">
        <v>40</v>
      </c>
      <c r="D285" s="1">
        <v>780</v>
      </c>
      <c r="E285" s="1">
        <v>786</v>
      </c>
      <c r="F285" s="12">
        <f t="shared" si="63"/>
        <v>783</v>
      </c>
      <c r="G285" s="1">
        <f t="shared" si="64"/>
        <v>-6</v>
      </c>
      <c r="H285" s="13">
        <f t="shared" si="65"/>
        <v>-7.6335877862595417E-3</v>
      </c>
      <c r="J285" s="13">
        <f t="shared" si="66"/>
        <v>0.99236641221374045</v>
      </c>
      <c r="K285" s="1" t="s">
        <v>91</v>
      </c>
    </row>
    <row r="286" spans="1:11" ht="15" customHeight="1" x14ac:dyDescent="0.3">
      <c r="A286" s="1" t="s">
        <v>41</v>
      </c>
      <c r="B286" s="1" t="s">
        <v>40</v>
      </c>
      <c r="D286" s="1">
        <v>721</v>
      </c>
      <c r="E286" s="1">
        <v>725</v>
      </c>
      <c r="F286" s="12">
        <f t="shared" si="63"/>
        <v>723</v>
      </c>
      <c r="G286" s="1">
        <f t="shared" si="64"/>
        <v>-4</v>
      </c>
      <c r="H286" s="13">
        <f t="shared" si="65"/>
        <v>-5.5172413793103444E-3</v>
      </c>
      <c r="J286" s="13">
        <f t="shared" si="66"/>
        <v>0.99448275862068969</v>
      </c>
      <c r="K286" s="1" t="s">
        <v>91</v>
      </c>
    </row>
    <row r="287" spans="1:11" ht="15" customHeight="1" x14ac:dyDescent="0.3">
      <c r="A287" s="1" t="s">
        <v>42</v>
      </c>
      <c r="B287" s="1" t="s">
        <v>40</v>
      </c>
      <c r="D287" s="1">
        <v>467</v>
      </c>
      <c r="E287" s="1">
        <v>462</v>
      </c>
      <c r="F287" s="12">
        <f t="shared" si="63"/>
        <v>464.5</v>
      </c>
      <c r="G287" s="1">
        <f t="shared" si="64"/>
        <v>5</v>
      </c>
      <c r="H287" s="13">
        <f t="shared" si="65"/>
        <v>1.0822510822510822E-2</v>
      </c>
      <c r="J287" s="13">
        <f t="shared" si="66"/>
        <v>1.0108225108225108</v>
      </c>
      <c r="K287" s="1" t="s">
        <v>91</v>
      </c>
    </row>
    <row r="288" spans="1:11" ht="15" customHeight="1" x14ac:dyDescent="0.3">
      <c r="A288" s="1" t="s">
        <v>43</v>
      </c>
      <c r="B288" s="1" t="s">
        <v>40</v>
      </c>
      <c r="D288" s="1">
        <v>772</v>
      </c>
      <c r="E288" s="1">
        <v>765</v>
      </c>
      <c r="F288" s="12">
        <f t="shared" si="63"/>
        <v>768.5</v>
      </c>
      <c r="G288" s="1">
        <f t="shared" si="64"/>
        <v>7</v>
      </c>
      <c r="H288" s="13">
        <f t="shared" si="65"/>
        <v>9.1503267973856214E-3</v>
      </c>
      <c r="J288" s="13">
        <f t="shared" si="66"/>
        <v>1.0091503267973856</v>
      </c>
      <c r="K288" s="1" t="s">
        <v>91</v>
      </c>
    </row>
    <row r="289" spans="1:11" ht="15" customHeight="1" x14ac:dyDescent="0.3">
      <c r="A289" s="1" t="s">
        <v>44</v>
      </c>
      <c r="D289" s="1">
        <v>720</v>
      </c>
      <c r="E289" s="1">
        <v>698</v>
      </c>
      <c r="F289" s="12">
        <f t="shared" si="63"/>
        <v>709</v>
      </c>
      <c r="G289" s="1">
        <f t="shared" si="64"/>
        <v>22</v>
      </c>
      <c r="H289" s="13">
        <f t="shared" si="65"/>
        <v>3.151862464183381E-2</v>
      </c>
      <c r="J289" s="13">
        <f t="shared" si="66"/>
        <v>1.0315186246418337</v>
      </c>
      <c r="K289" s="1" t="s">
        <v>91</v>
      </c>
    </row>
    <row r="290" spans="1:11" ht="15" customHeight="1" x14ac:dyDescent="0.3">
      <c r="A290" s="1" t="s">
        <v>45</v>
      </c>
      <c r="B290" s="1" t="s">
        <v>46</v>
      </c>
      <c r="D290" s="1">
        <v>705</v>
      </c>
      <c r="E290" s="1">
        <v>718</v>
      </c>
      <c r="F290" s="12">
        <f t="shared" si="63"/>
        <v>711.5</v>
      </c>
      <c r="G290" s="1">
        <f t="shared" si="64"/>
        <v>-13</v>
      </c>
      <c r="H290" s="13">
        <f t="shared" si="65"/>
        <v>-1.8105849582172703E-2</v>
      </c>
      <c r="J290" s="13">
        <f t="shared" si="66"/>
        <v>0.98189415041782735</v>
      </c>
      <c r="K290" s="1" t="s">
        <v>91</v>
      </c>
    </row>
    <row r="291" spans="1:11" ht="15" customHeight="1" x14ac:dyDescent="0.3">
      <c r="A291" s="1" t="s">
        <v>47</v>
      </c>
      <c r="B291" s="1" t="s">
        <v>46</v>
      </c>
      <c r="D291" s="1">
        <v>290</v>
      </c>
      <c r="E291" s="1">
        <v>297</v>
      </c>
      <c r="F291" s="12">
        <f t="shared" si="63"/>
        <v>293.5</v>
      </c>
      <c r="G291" s="1">
        <f t="shared" si="64"/>
        <v>-7</v>
      </c>
      <c r="H291" s="13">
        <f t="shared" si="65"/>
        <v>-2.3569023569023569E-2</v>
      </c>
      <c r="J291" s="13">
        <f t="shared" si="66"/>
        <v>0.97643097643097643</v>
      </c>
      <c r="K291" s="1" t="s">
        <v>91</v>
      </c>
    </row>
    <row r="292" spans="1:11" ht="15" customHeight="1" x14ac:dyDescent="0.3">
      <c r="A292" s="1" t="s">
        <v>48</v>
      </c>
      <c r="B292" s="1" t="s">
        <v>46</v>
      </c>
      <c r="D292" s="1">
        <v>402</v>
      </c>
      <c r="E292" s="1">
        <v>404</v>
      </c>
      <c r="F292" s="12">
        <f t="shared" si="63"/>
        <v>403</v>
      </c>
      <c r="G292" s="1">
        <f t="shared" si="64"/>
        <v>-2</v>
      </c>
      <c r="H292" s="13">
        <f t="shared" si="65"/>
        <v>-4.9504950495049506E-3</v>
      </c>
      <c r="J292" s="13">
        <f t="shared" si="66"/>
        <v>0.99504950495049505</v>
      </c>
      <c r="K292" s="1" t="s">
        <v>91</v>
      </c>
    </row>
    <row r="293" spans="1:11" ht="15" customHeight="1" x14ac:dyDescent="0.3">
      <c r="A293" s="1" t="s">
        <v>49</v>
      </c>
      <c r="B293" s="1" t="s">
        <v>50</v>
      </c>
      <c r="D293" s="1">
        <v>753</v>
      </c>
      <c r="E293" s="1">
        <v>762</v>
      </c>
      <c r="F293" s="12">
        <f t="shared" si="63"/>
        <v>757.5</v>
      </c>
      <c r="G293" s="1">
        <f t="shared" si="64"/>
        <v>-9</v>
      </c>
      <c r="H293" s="13">
        <f t="shared" si="65"/>
        <v>-1.1811023622047244E-2</v>
      </c>
      <c r="J293" s="13">
        <f t="shared" si="66"/>
        <v>0.98818897637795278</v>
      </c>
      <c r="K293" s="1" t="s">
        <v>91</v>
      </c>
    </row>
    <row r="294" spans="1:11" ht="15" customHeight="1" x14ac:dyDescent="0.3">
      <c r="A294" s="1" t="s">
        <v>51</v>
      </c>
      <c r="B294" s="1" t="s">
        <v>50</v>
      </c>
      <c r="D294" s="1">
        <v>643</v>
      </c>
      <c r="E294" s="1">
        <v>667</v>
      </c>
      <c r="F294" s="12">
        <f t="shared" si="63"/>
        <v>655</v>
      </c>
      <c r="G294" s="1">
        <f t="shared" si="64"/>
        <v>-24</v>
      </c>
      <c r="H294" s="13">
        <f t="shared" si="65"/>
        <v>-3.5982008995502246E-2</v>
      </c>
      <c r="J294" s="13">
        <f t="shared" si="66"/>
        <v>0.9640179910044977</v>
      </c>
      <c r="K294" s="1" t="s">
        <v>91</v>
      </c>
    </row>
    <row r="295" spans="1:11" ht="15" customHeight="1" x14ac:dyDescent="0.3">
      <c r="A295" s="1" t="s">
        <v>52</v>
      </c>
      <c r="B295" s="1" t="s">
        <v>50</v>
      </c>
      <c r="D295" s="1">
        <v>472</v>
      </c>
      <c r="E295" s="1">
        <v>481</v>
      </c>
      <c r="F295" s="12">
        <f t="shared" si="63"/>
        <v>476.5</v>
      </c>
      <c r="G295" s="1">
        <f t="shared" si="64"/>
        <v>-9</v>
      </c>
      <c r="H295" s="13">
        <f t="shared" si="65"/>
        <v>-1.8711018711018712E-2</v>
      </c>
      <c r="J295" s="13">
        <f t="shared" si="66"/>
        <v>0.98128898128898134</v>
      </c>
      <c r="K295" s="1" t="s">
        <v>91</v>
      </c>
    </row>
    <row r="296" spans="1:11" ht="15" customHeight="1" x14ac:dyDescent="0.3">
      <c r="A296" s="1" t="s">
        <v>53</v>
      </c>
      <c r="B296" s="1" t="s">
        <v>50</v>
      </c>
      <c r="D296" s="1">
        <v>1075</v>
      </c>
      <c r="E296" s="1">
        <v>1090</v>
      </c>
      <c r="F296" s="12">
        <f t="shared" si="63"/>
        <v>1082.5</v>
      </c>
      <c r="G296" s="1">
        <f t="shared" si="64"/>
        <v>-15</v>
      </c>
      <c r="H296" s="13">
        <f t="shared" si="65"/>
        <v>-1.3761467889908258E-2</v>
      </c>
      <c r="J296" s="13">
        <f t="shared" si="66"/>
        <v>0.98623853211009171</v>
      </c>
      <c r="K296" s="1" t="s">
        <v>91</v>
      </c>
    </row>
    <row r="297" spans="1:11" ht="15" customHeight="1" x14ac:dyDescent="0.3">
      <c r="A297" s="1" t="s">
        <v>54</v>
      </c>
      <c r="B297" s="1" t="s">
        <v>50</v>
      </c>
      <c r="D297" s="1">
        <v>813</v>
      </c>
      <c r="E297" s="1">
        <v>865</v>
      </c>
      <c r="F297" s="12">
        <f t="shared" si="63"/>
        <v>839</v>
      </c>
      <c r="G297" s="1">
        <f t="shared" si="64"/>
        <v>-52</v>
      </c>
      <c r="H297" s="13">
        <f t="shared" si="65"/>
        <v>-6.0115606936416183E-2</v>
      </c>
      <c r="J297" s="13">
        <f t="shared" si="66"/>
        <v>0.93988439306358385</v>
      </c>
      <c r="K297" s="1" t="s">
        <v>91</v>
      </c>
    </row>
    <row r="298" spans="1:11" ht="15" customHeight="1" x14ac:dyDescent="0.3">
      <c r="A298" s="1" t="s">
        <v>55</v>
      </c>
      <c r="B298" s="1" t="s">
        <v>50</v>
      </c>
      <c r="D298" s="1">
        <v>606</v>
      </c>
      <c r="E298" s="1">
        <v>606</v>
      </c>
      <c r="F298" s="12">
        <f t="shared" si="63"/>
        <v>606</v>
      </c>
      <c r="G298" s="1">
        <f t="shared" si="64"/>
        <v>0</v>
      </c>
      <c r="H298" s="13">
        <f t="shared" si="65"/>
        <v>0</v>
      </c>
      <c r="J298" s="13">
        <f t="shared" si="66"/>
        <v>1</v>
      </c>
      <c r="K298" s="1" t="s">
        <v>91</v>
      </c>
    </row>
    <row r="299" spans="1:11" ht="15" customHeight="1" x14ac:dyDescent="0.3">
      <c r="A299" s="1" t="s">
        <v>56</v>
      </c>
      <c r="B299" s="1" t="s">
        <v>50</v>
      </c>
      <c r="D299" s="1">
        <v>628</v>
      </c>
      <c r="E299" s="1">
        <v>633</v>
      </c>
      <c r="F299" s="12">
        <f t="shared" si="63"/>
        <v>630.5</v>
      </c>
      <c r="G299" s="1">
        <f t="shared" si="64"/>
        <v>-5</v>
      </c>
      <c r="H299" s="13">
        <f t="shared" si="65"/>
        <v>-7.8988941548183249E-3</v>
      </c>
      <c r="J299" s="13">
        <f t="shared" si="66"/>
        <v>0.99210110584518163</v>
      </c>
      <c r="K299" s="1" t="s">
        <v>91</v>
      </c>
    </row>
    <row r="300" spans="1:11" ht="15" customHeight="1" x14ac:dyDescent="0.3">
      <c r="A300" s="1" t="s">
        <v>57</v>
      </c>
      <c r="B300" s="1" t="s">
        <v>58</v>
      </c>
      <c r="D300" s="1">
        <v>621</v>
      </c>
      <c r="E300" s="1">
        <v>660</v>
      </c>
      <c r="F300" s="12">
        <f t="shared" si="63"/>
        <v>640.5</v>
      </c>
      <c r="G300" s="1">
        <f t="shared" si="64"/>
        <v>-39</v>
      </c>
      <c r="H300" s="13">
        <f t="shared" si="65"/>
        <v>-5.909090909090909E-2</v>
      </c>
      <c r="J300" s="13">
        <f t="shared" si="66"/>
        <v>0.94090909090909092</v>
      </c>
      <c r="K300" s="1" t="s">
        <v>91</v>
      </c>
    </row>
    <row r="301" spans="1:11" ht="15" customHeight="1" x14ac:dyDescent="0.3">
      <c r="A301" s="1" t="s">
        <v>59</v>
      </c>
      <c r="B301" s="1" t="s">
        <v>58</v>
      </c>
      <c r="D301" s="1">
        <v>701</v>
      </c>
      <c r="E301" s="1">
        <v>706</v>
      </c>
      <c r="F301" s="12">
        <f t="shared" si="63"/>
        <v>703.5</v>
      </c>
      <c r="G301" s="1">
        <f t="shared" si="64"/>
        <v>-5</v>
      </c>
      <c r="H301" s="13">
        <f t="shared" si="65"/>
        <v>-7.0821529745042494E-3</v>
      </c>
      <c r="J301" s="13">
        <f t="shared" si="66"/>
        <v>0.99291784702549579</v>
      </c>
      <c r="K301" s="1" t="s">
        <v>91</v>
      </c>
    </row>
    <row r="302" spans="1:11" ht="15" customHeight="1" x14ac:dyDescent="0.3">
      <c r="A302" s="1" t="s">
        <v>60</v>
      </c>
      <c r="B302" s="1" t="s">
        <v>58</v>
      </c>
      <c r="D302" s="1">
        <v>531</v>
      </c>
      <c r="E302" s="1">
        <v>552</v>
      </c>
      <c r="F302" s="12">
        <f t="shared" si="63"/>
        <v>541.5</v>
      </c>
      <c r="G302" s="1">
        <f t="shared" si="64"/>
        <v>-21</v>
      </c>
      <c r="H302" s="13">
        <f t="shared" si="65"/>
        <v>-3.8043478260869568E-2</v>
      </c>
      <c r="J302" s="13">
        <f t="shared" si="66"/>
        <v>0.96195652173913049</v>
      </c>
      <c r="K302" s="1" t="s">
        <v>91</v>
      </c>
    </row>
    <row r="303" spans="1:11" ht="15" customHeight="1" x14ac:dyDescent="0.3">
      <c r="A303" s="1" t="s">
        <v>61</v>
      </c>
      <c r="B303" s="1" t="s">
        <v>58</v>
      </c>
      <c r="D303" s="1">
        <v>871</v>
      </c>
      <c r="E303" s="1">
        <v>860</v>
      </c>
      <c r="F303" s="12">
        <f t="shared" si="63"/>
        <v>865.5</v>
      </c>
      <c r="G303" s="1">
        <f t="shared" si="64"/>
        <v>11</v>
      </c>
      <c r="H303" s="13">
        <f t="shared" si="65"/>
        <v>1.2790697674418604E-2</v>
      </c>
      <c r="J303" s="13">
        <f t="shared" si="66"/>
        <v>1.0127906976744185</v>
      </c>
      <c r="K303" s="1" t="s">
        <v>91</v>
      </c>
    </row>
    <row r="304" spans="1:11" ht="15" customHeight="1" x14ac:dyDescent="0.3">
      <c r="A304" s="1" t="s">
        <v>62</v>
      </c>
      <c r="B304" s="1" t="s">
        <v>58</v>
      </c>
      <c r="D304" s="1">
        <v>807</v>
      </c>
      <c r="E304" s="1">
        <v>804</v>
      </c>
      <c r="F304" s="12">
        <f t="shared" si="63"/>
        <v>805.5</v>
      </c>
      <c r="G304" s="1">
        <f t="shared" si="64"/>
        <v>3</v>
      </c>
      <c r="H304" s="13">
        <f t="shared" si="65"/>
        <v>3.7313432835820895E-3</v>
      </c>
      <c r="J304" s="13">
        <f t="shared" si="66"/>
        <v>1.0037313432835822</v>
      </c>
      <c r="K304" s="1" t="s">
        <v>91</v>
      </c>
    </row>
    <row r="305" spans="1:11" ht="15" customHeight="1" x14ac:dyDescent="0.3">
      <c r="A305" s="1" t="s">
        <v>63</v>
      </c>
      <c r="B305" s="1" t="s">
        <v>58</v>
      </c>
      <c r="D305" s="1">
        <v>953</v>
      </c>
      <c r="E305" s="1">
        <v>927</v>
      </c>
      <c r="F305" s="12">
        <f t="shared" si="63"/>
        <v>940</v>
      </c>
      <c r="G305" s="1">
        <f t="shared" si="64"/>
        <v>26</v>
      </c>
      <c r="H305" s="13">
        <f t="shared" si="65"/>
        <v>2.8047464940668825E-2</v>
      </c>
      <c r="J305" s="13">
        <f t="shared" si="66"/>
        <v>1.0280474649406688</v>
      </c>
      <c r="K305" s="1" t="s">
        <v>91</v>
      </c>
    </row>
    <row r="306" spans="1:11" ht="15" customHeight="1" x14ac:dyDescent="0.3">
      <c r="A306" s="1" t="s">
        <v>64</v>
      </c>
      <c r="B306" s="1" t="s">
        <v>58</v>
      </c>
      <c r="D306" s="1">
        <v>722</v>
      </c>
      <c r="E306" s="1">
        <v>740</v>
      </c>
      <c r="F306" s="12">
        <f t="shared" si="63"/>
        <v>731</v>
      </c>
      <c r="G306" s="1">
        <f t="shared" si="64"/>
        <v>-18</v>
      </c>
      <c r="H306" s="13">
        <f t="shared" si="65"/>
        <v>-2.4324324324324326E-2</v>
      </c>
      <c r="J306" s="13">
        <f t="shared" si="66"/>
        <v>0.9756756756756757</v>
      </c>
      <c r="K306" s="1" t="s">
        <v>91</v>
      </c>
    </row>
    <row r="307" spans="1:11" ht="15" customHeight="1" x14ac:dyDescent="0.3">
      <c r="A307" s="1" t="s">
        <v>65</v>
      </c>
      <c r="B307" s="1" t="s">
        <v>58</v>
      </c>
      <c r="D307" s="1">
        <v>815</v>
      </c>
      <c r="E307" s="1">
        <v>797</v>
      </c>
      <c r="F307" s="12">
        <f t="shared" si="63"/>
        <v>806</v>
      </c>
      <c r="G307" s="1">
        <f t="shared" si="64"/>
        <v>18</v>
      </c>
      <c r="H307" s="13">
        <f t="shared" si="65"/>
        <v>2.258469259723965E-2</v>
      </c>
      <c r="J307" s="13">
        <f t="shared" si="66"/>
        <v>1.0225846925972397</v>
      </c>
      <c r="K307" s="1" t="s">
        <v>91</v>
      </c>
    </row>
    <row r="308" spans="1:11" ht="15" customHeight="1" x14ac:dyDescent="0.3">
      <c r="A308" s="1" t="s">
        <v>66</v>
      </c>
      <c r="D308" s="1">
        <v>596</v>
      </c>
      <c r="E308" s="1">
        <v>603</v>
      </c>
      <c r="F308" s="12">
        <f t="shared" si="63"/>
        <v>599.5</v>
      </c>
      <c r="G308" s="1">
        <f t="shared" si="64"/>
        <v>-7</v>
      </c>
      <c r="H308" s="13">
        <f t="shared" si="65"/>
        <v>-1.1608623548922056E-2</v>
      </c>
      <c r="J308" s="13">
        <f t="shared" si="66"/>
        <v>0.988391376451078</v>
      </c>
      <c r="K308" s="1" t="s">
        <v>91</v>
      </c>
    </row>
    <row r="309" spans="1:11" ht="15" customHeight="1" x14ac:dyDescent="0.3">
      <c r="A309" s="1" t="s">
        <v>67</v>
      </c>
      <c r="D309" s="1">
        <v>699</v>
      </c>
      <c r="E309" s="1">
        <v>672</v>
      </c>
      <c r="F309" s="12">
        <f t="shared" si="63"/>
        <v>685.5</v>
      </c>
      <c r="G309" s="1">
        <f t="shared" si="64"/>
        <v>27</v>
      </c>
      <c r="H309" s="13">
        <f t="shared" si="65"/>
        <v>4.0178571428571432E-2</v>
      </c>
      <c r="J309" s="13">
        <f t="shared" si="66"/>
        <v>1.0401785714285714</v>
      </c>
      <c r="K309" s="1" t="s">
        <v>91</v>
      </c>
    </row>
    <row r="310" spans="1:11" ht="15" customHeight="1" x14ac:dyDescent="0.3">
      <c r="A310" s="1" t="s">
        <v>68</v>
      </c>
      <c r="D310" s="1">
        <v>1422</v>
      </c>
      <c r="E310" s="1">
        <v>1421</v>
      </c>
      <c r="F310" s="12">
        <f t="shared" si="63"/>
        <v>1421.5</v>
      </c>
      <c r="G310" s="1">
        <f t="shared" si="64"/>
        <v>1</v>
      </c>
      <c r="H310" s="13">
        <f t="shared" si="65"/>
        <v>7.0372976776917663E-4</v>
      </c>
      <c r="J310" s="13">
        <f t="shared" si="66"/>
        <v>1.0007037297677692</v>
      </c>
      <c r="K310" s="1" t="s">
        <v>91</v>
      </c>
    </row>
    <row r="311" spans="1:11" ht="15" customHeight="1" x14ac:dyDescent="0.3">
      <c r="A311" s="1" t="s">
        <v>69</v>
      </c>
      <c r="D311" s="1">
        <v>534</v>
      </c>
      <c r="E311" s="1">
        <v>529</v>
      </c>
      <c r="F311" s="12">
        <f t="shared" si="63"/>
        <v>531.5</v>
      </c>
      <c r="G311" s="1">
        <f t="shared" si="64"/>
        <v>5</v>
      </c>
      <c r="H311" s="13">
        <f t="shared" si="65"/>
        <v>9.4517958412098299E-3</v>
      </c>
      <c r="J311" s="13">
        <f t="shared" si="66"/>
        <v>1.0094517958412099</v>
      </c>
      <c r="K311" s="1" t="s">
        <v>91</v>
      </c>
    </row>
    <row r="312" spans="1:11" ht="15" customHeight="1" x14ac:dyDescent="0.3">
      <c r="A312" s="1" t="s">
        <v>70</v>
      </c>
      <c r="B312" s="1" t="s">
        <v>71</v>
      </c>
      <c r="D312" s="1">
        <v>689</v>
      </c>
      <c r="E312" s="1">
        <v>686</v>
      </c>
      <c r="F312" s="12">
        <f t="shared" si="63"/>
        <v>687.5</v>
      </c>
      <c r="G312" s="1">
        <f t="shared" si="64"/>
        <v>3</v>
      </c>
      <c r="H312" s="13">
        <f t="shared" si="65"/>
        <v>4.3731778425655978E-3</v>
      </c>
      <c r="J312" s="13">
        <f t="shared" si="66"/>
        <v>1.0043731778425655</v>
      </c>
      <c r="K312" s="1" t="s">
        <v>91</v>
      </c>
    </row>
    <row r="313" spans="1:11" ht="15" customHeight="1" x14ac:dyDescent="0.3">
      <c r="A313" s="1" t="s">
        <v>72</v>
      </c>
      <c r="B313" s="1" t="s">
        <v>71</v>
      </c>
      <c r="D313" s="1">
        <v>424</v>
      </c>
      <c r="E313" s="1">
        <v>423</v>
      </c>
      <c r="F313" s="12">
        <f t="shared" si="63"/>
        <v>423.5</v>
      </c>
      <c r="G313" s="1">
        <f t="shared" si="64"/>
        <v>1</v>
      </c>
      <c r="H313" s="13">
        <f t="shared" si="65"/>
        <v>2.3640661938534278E-3</v>
      </c>
      <c r="J313" s="13">
        <f t="shared" si="66"/>
        <v>1.0023640661938533</v>
      </c>
      <c r="K313" s="1" t="s">
        <v>91</v>
      </c>
    </row>
    <row r="314" spans="1:11" ht="15" customHeight="1" x14ac:dyDescent="0.3">
      <c r="A314" s="1" t="s">
        <v>73</v>
      </c>
      <c r="B314" s="1" t="s">
        <v>71</v>
      </c>
      <c r="D314" s="1">
        <v>646</v>
      </c>
      <c r="E314" s="1">
        <v>630</v>
      </c>
      <c r="F314" s="12">
        <f t="shared" si="63"/>
        <v>638</v>
      </c>
      <c r="G314" s="1">
        <f t="shared" si="64"/>
        <v>16</v>
      </c>
      <c r="H314" s="13">
        <f t="shared" si="65"/>
        <v>2.5396825396825397E-2</v>
      </c>
      <c r="J314" s="13">
        <f t="shared" si="66"/>
        <v>1.0253968253968253</v>
      </c>
      <c r="K314" s="1" t="s">
        <v>91</v>
      </c>
    </row>
    <row r="315" spans="1:11" ht="15" customHeight="1" x14ac:dyDescent="0.3">
      <c r="A315" s="1" t="s">
        <v>74</v>
      </c>
      <c r="B315" s="1" t="s">
        <v>71</v>
      </c>
      <c r="D315" s="1">
        <v>735</v>
      </c>
      <c r="E315" s="1">
        <v>641</v>
      </c>
      <c r="F315" s="12">
        <f t="shared" si="63"/>
        <v>688</v>
      </c>
      <c r="G315" s="1">
        <f t="shared" si="64"/>
        <v>94</v>
      </c>
      <c r="H315" s="13">
        <f t="shared" si="65"/>
        <v>0.14664586583463338</v>
      </c>
      <c r="J315" s="13">
        <f t="shared" si="66"/>
        <v>1.1466458658346335</v>
      </c>
      <c r="K315" s="1" t="s">
        <v>91</v>
      </c>
    </row>
    <row r="316" spans="1:11" ht="15" customHeight="1" x14ac:dyDescent="0.3">
      <c r="A316" s="1" t="s">
        <v>75</v>
      </c>
      <c r="D316" s="1">
        <v>182</v>
      </c>
      <c r="E316" s="1">
        <v>171</v>
      </c>
      <c r="F316" s="12">
        <f t="shared" si="63"/>
        <v>176.5</v>
      </c>
      <c r="G316" s="1">
        <f t="shared" si="64"/>
        <v>11</v>
      </c>
      <c r="H316" s="13">
        <f t="shared" si="65"/>
        <v>6.4327485380116955E-2</v>
      </c>
      <c r="J316" s="13">
        <f t="shared" si="66"/>
        <v>1.064327485380117</v>
      </c>
      <c r="K316" s="1" t="s">
        <v>91</v>
      </c>
    </row>
    <row r="317" spans="1:11" ht="15" customHeight="1" x14ac:dyDescent="0.3">
      <c r="A317" s="1" t="s">
        <v>76</v>
      </c>
      <c r="D317" s="1">
        <v>422</v>
      </c>
      <c r="E317" s="1">
        <v>476</v>
      </c>
      <c r="F317" s="12">
        <f t="shared" si="63"/>
        <v>449</v>
      </c>
      <c r="G317" s="1">
        <f t="shared" si="64"/>
        <v>-54</v>
      </c>
      <c r="H317" s="13">
        <f t="shared" si="65"/>
        <v>-0.1134453781512605</v>
      </c>
      <c r="J317" s="13">
        <f t="shared" si="66"/>
        <v>0.88655462184873945</v>
      </c>
      <c r="K317" s="1" t="s">
        <v>91</v>
      </c>
    </row>
    <row r="318" spans="1:11" ht="15" customHeight="1" x14ac:dyDescent="0.3">
      <c r="A318" s="1" t="s">
        <v>77</v>
      </c>
      <c r="D318" s="1">
        <v>1897</v>
      </c>
      <c r="E318" s="1">
        <v>1918</v>
      </c>
      <c r="F318" s="12">
        <f t="shared" si="63"/>
        <v>1907.5</v>
      </c>
      <c r="G318" s="1">
        <f t="shared" si="64"/>
        <v>-21</v>
      </c>
      <c r="H318" s="13">
        <f t="shared" si="65"/>
        <v>-1.0948905109489052E-2</v>
      </c>
      <c r="J318" s="13">
        <f t="shared" si="66"/>
        <v>0.98905109489051091</v>
      </c>
      <c r="K318" s="1" t="s">
        <v>91</v>
      </c>
    </row>
    <row r="319" spans="1:11" ht="15" customHeight="1" x14ac:dyDescent="0.3">
      <c r="A319" s="1" t="s">
        <v>78</v>
      </c>
      <c r="D319" s="1">
        <v>420</v>
      </c>
      <c r="E319" s="1">
        <v>427</v>
      </c>
      <c r="F319" s="12">
        <f t="shared" si="63"/>
        <v>423.5</v>
      </c>
      <c r="G319" s="1">
        <f t="shared" si="64"/>
        <v>-7</v>
      </c>
      <c r="H319" s="13">
        <f t="shared" si="65"/>
        <v>-1.6393442622950821E-2</v>
      </c>
      <c r="J319" s="13">
        <f t="shared" si="66"/>
        <v>0.98360655737704916</v>
      </c>
      <c r="K319" s="1" t="s">
        <v>91</v>
      </c>
    </row>
    <row r="320" spans="1:11" ht="15" customHeight="1" x14ac:dyDescent="0.3">
      <c r="A320" s="3" t="s">
        <v>79</v>
      </c>
      <c r="D320" s="1">
        <v>908</v>
      </c>
      <c r="E320" s="1">
        <v>946</v>
      </c>
      <c r="F320" s="12">
        <f t="shared" si="63"/>
        <v>927</v>
      </c>
      <c r="G320" s="1">
        <f t="shared" si="64"/>
        <v>-38</v>
      </c>
      <c r="H320" s="13">
        <f t="shared" si="65"/>
        <v>-4.0169133192389003E-2</v>
      </c>
      <c r="J320" s="13">
        <f t="shared" si="66"/>
        <v>0.95983086680761098</v>
      </c>
      <c r="K320" s="1" t="s">
        <v>91</v>
      </c>
    </row>
    <row r="321" spans="1:11" ht="15" customHeight="1" x14ac:dyDescent="0.3">
      <c r="A321" s="1" t="s">
        <v>80</v>
      </c>
      <c r="D321" s="1">
        <v>377</v>
      </c>
      <c r="E321" s="1">
        <v>376</v>
      </c>
      <c r="F321" s="12">
        <f t="shared" si="63"/>
        <v>376.5</v>
      </c>
      <c r="G321" s="1">
        <f t="shared" si="64"/>
        <v>1</v>
      </c>
      <c r="H321" s="13">
        <f t="shared" si="65"/>
        <v>2.6595744680851063E-3</v>
      </c>
      <c r="J321" s="13">
        <f t="shared" si="66"/>
        <v>1.0026595744680851</v>
      </c>
      <c r="K321" s="1" t="s">
        <v>91</v>
      </c>
    </row>
    <row r="322" spans="1:11" ht="15" customHeight="1" x14ac:dyDescent="0.35">
      <c r="A322" s="22" t="s">
        <v>150</v>
      </c>
      <c r="C322" s="22">
        <v>75</v>
      </c>
      <c r="D322" s="22">
        <v>90</v>
      </c>
      <c r="E322" s="22">
        <v>86</v>
      </c>
      <c r="F322" s="12">
        <f t="shared" si="63"/>
        <v>88</v>
      </c>
      <c r="J322" s="13">
        <f t="shared" si="66"/>
        <v>1.0465116279069768</v>
      </c>
      <c r="K322" s="1" t="s">
        <v>85</v>
      </c>
    </row>
    <row r="323" spans="1:11" ht="15" customHeight="1" x14ac:dyDescent="0.35">
      <c r="A323" s="22" t="s">
        <v>150</v>
      </c>
      <c r="C323" s="22">
        <v>118</v>
      </c>
      <c r="D323" s="22">
        <v>113</v>
      </c>
      <c r="E323" s="22">
        <v>114</v>
      </c>
      <c r="F323" s="12">
        <f t="shared" si="63"/>
        <v>113.5</v>
      </c>
      <c r="J323" s="13">
        <f t="shared" si="66"/>
        <v>0.99122807017543857</v>
      </c>
      <c r="K323" s="1" t="s">
        <v>87</v>
      </c>
    </row>
    <row r="325" spans="1:11" ht="15" customHeight="1" x14ac:dyDescent="0.3">
      <c r="G325" s="13">
        <f>(F323-F322)/F322</f>
        <v>0.28977272727272729</v>
      </c>
    </row>
  </sheetData>
  <autoFilter ref="A1:K323" xr:uid="{E4BC92EF-0EDF-4076-9CE2-E6C1FB2E93E0}"/>
  <phoneticPr fontId="7" type="noConversion"/>
  <pageMargins left="0.7" right="0.7" top="0.75" bottom="0.75" header="0.3" footer="0.3"/>
  <pageSetup scale="8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0714C-14EE-4E6C-A36E-510CE4EC87F7}">
  <dimension ref="A1:I32"/>
  <sheetViews>
    <sheetView workbookViewId="0">
      <selection activeCell="G35" sqref="G35"/>
    </sheetView>
  </sheetViews>
  <sheetFormatPr defaultRowHeight="14.5" x14ac:dyDescent="0.35"/>
  <cols>
    <col min="1" max="1" width="41.26953125" bestFit="1" customWidth="1"/>
    <col min="2" max="2" width="6.6328125" bestFit="1" customWidth="1"/>
    <col min="3" max="3" width="10.36328125" bestFit="1" customWidth="1"/>
    <col min="4" max="4" width="17.81640625" bestFit="1" customWidth="1"/>
    <col min="5" max="5" width="16.54296875" bestFit="1" customWidth="1"/>
    <col min="6" max="6" width="20.453125" bestFit="1" customWidth="1"/>
    <col min="7" max="7" width="28.26953125" bestFit="1" customWidth="1"/>
    <col min="8" max="8" width="15" customWidth="1"/>
    <col min="9" max="9" width="11.54296875" bestFit="1" customWidth="1"/>
  </cols>
  <sheetData>
    <row r="1" spans="1:9" ht="45.5" x14ac:dyDescent="0.35">
      <c r="A1" s="9" t="s">
        <v>0</v>
      </c>
      <c r="B1" s="10" t="s">
        <v>1</v>
      </c>
      <c r="C1" s="9" t="s">
        <v>2</v>
      </c>
      <c r="D1" s="9" t="s">
        <v>90</v>
      </c>
      <c r="E1" s="9" t="s">
        <v>3</v>
      </c>
      <c r="F1" s="14" t="s">
        <v>86</v>
      </c>
      <c r="G1" s="14" t="s">
        <v>151</v>
      </c>
      <c r="H1" s="11" t="s">
        <v>84</v>
      </c>
      <c r="I1" s="9" t="s">
        <v>81</v>
      </c>
    </row>
    <row r="2" spans="1:9" x14ac:dyDescent="0.35">
      <c r="A2" s="1" t="s">
        <v>8</v>
      </c>
      <c r="B2" s="1" t="s">
        <v>9</v>
      </c>
      <c r="C2" s="1">
        <v>727</v>
      </c>
      <c r="D2" s="7" t="s">
        <v>110</v>
      </c>
      <c r="E2" s="1">
        <v>690</v>
      </c>
      <c r="F2" s="20">
        <v>714.5</v>
      </c>
      <c r="G2" s="23">
        <f>(F2-F3)/F3</f>
        <v>-5.6765676567656763E-2</v>
      </c>
      <c r="H2" s="8">
        <f>F2/C2</f>
        <v>0.98280605226960105</v>
      </c>
      <c r="I2" s="1" t="s">
        <v>82</v>
      </c>
    </row>
    <row r="3" spans="1:9" x14ac:dyDescent="0.35">
      <c r="A3" s="1" t="s">
        <v>8</v>
      </c>
      <c r="B3" s="1" t="s">
        <v>9</v>
      </c>
      <c r="C3" s="1"/>
      <c r="D3" s="1">
        <v>761</v>
      </c>
      <c r="E3" s="1">
        <v>754</v>
      </c>
      <c r="F3" s="12">
        <v>757.5</v>
      </c>
      <c r="G3" s="23">
        <v>-5.6765676567656763E-2</v>
      </c>
      <c r="H3" s="8"/>
      <c r="I3" s="1" t="s">
        <v>88</v>
      </c>
    </row>
    <row r="4" spans="1:9" x14ac:dyDescent="0.35">
      <c r="A4" s="15" t="s">
        <v>83</v>
      </c>
      <c r="B4" s="1" t="s">
        <v>9</v>
      </c>
      <c r="C4" s="1">
        <v>541</v>
      </c>
      <c r="D4" s="7" t="s">
        <v>111</v>
      </c>
      <c r="E4" s="1">
        <v>500</v>
      </c>
      <c r="F4" s="1">
        <v>482</v>
      </c>
      <c r="G4" s="13">
        <f>(F4-F5)/F5</f>
        <v>-0.12917795844625113</v>
      </c>
      <c r="H4" s="8">
        <f t="shared" ref="H3:H32" si="0">F4/C4</f>
        <v>0.89094269870609977</v>
      </c>
      <c r="I4" s="1" t="s">
        <v>82</v>
      </c>
    </row>
    <row r="5" spans="1:9" x14ac:dyDescent="0.35">
      <c r="A5" s="1" t="s">
        <v>83</v>
      </c>
      <c r="B5" s="1" t="s">
        <v>9</v>
      </c>
      <c r="C5" s="1"/>
      <c r="D5" s="1">
        <v>555</v>
      </c>
      <c r="E5" s="1">
        <v>552</v>
      </c>
      <c r="F5" s="12">
        <v>553.5</v>
      </c>
      <c r="G5" s="13">
        <v>-0.12917795844625113</v>
      </c>
      <c r="H5" s="8"/>
      <c r="I5" s="1" t="s">
        <v>88</v>
      </c>
    </row>
    <row r="6" spans="1:9" x14ac:dyDescent="0.35">
      <c r="A6" s="1" t="s">
        <v>49</v>
      </c>
      <c r="B6" s="1" t="s">
        <v>50</v>
      </c>
      <c r="C6" s="1">
        <v>735</v>
      </c>
      <c r="D6" s="7" t="s">
        <v>138</v>
      </c>
      <c r="E6" s="1">
        <v>708</v>
      </c>
      <c r="F6" s="1">
        <v>723</v>
      </c>
      <c r="G6" s="13">
        <f>(F6-F7)/F7</f>
        <v>-1.1619958988380041E-2</v>
      </c>
      <c r="H6" s="8">
        <f t="shared" si="0"/>
        <v>0.98367346938775513</v>
      </c>
      <c r="I6" s="1" t="s">
        <v>82</v>
      </c>
    </row>
    <row r="7" spans="1:9" x14ac:dyDescent="0.35">
      <c r="A7" s="1" t="s">
        <v>49</v>
      </c>
      <c r="B7" s="1" t="s">
        <v>50</v>
      </c>
      <c r="C7" s="1"/>
      <c r="D7" s="1">
        <v>729</v>
      </c>
      <c r="E7" s="1">
        <v>734</v>
      </c>
      <c r="F7" s="12">
        <v>731.5</v>
      </c>
      <c r="G7" s="13">
        <v>-1.1619958988380041E-2</v>
      </c>
      <c r="H7" s="8"/>
      <c r="I7" s="1" t="s">
        <v>88</v>
      </c>
    </row>
    <row r="8" spans="1:9" x14ac:dyDescent="0.35">
      <c r="A8" s="1" t="s">
        <v>51</v>
      </c>
      <c r="B8" s="1" t="s">
        <v>50</v>
      </c>
      <c r="C8" s="1">
        <v>605</v>
      </c>
      <c r="D8" s="7" t="s">
        <v>92</v>
      </c>
      <c r="E8" s="1">
        <v>604</v>
      </c>
      <c r="F8" s="1">
        <v>600</v>
      </c>
      <c r="G8" s="13">
        <f>(F8-F9)/F9</f>
        <v>-4.9751243781094526E-3</v>
      </c>
      <c r="H8" s="8">
        <f t="shared" si="0"/>
        <v>0.99173553719008267</v>
      </c>
      <c r="I8" s="1" t="s">
        <v>82</v>
      </c>
    </row>
    <row r="9" spans="1:9" x14ac:dyDescent="0.35">
      <c r="A9" s="1" t="s">
        <v>51</v>
      </c>
      <c r="B9" s="1" t="s">
        <v>50</v>
      </c>
      <c r="C9" s="1"/>
      <c r="D9" s="1">
        <v>601</v>
      </c>
      <c r="E9" s="1">
        <v>605</v>
      </c>
      <c r="F9" s="1">
        <v>603</v>
      </c>
      <c r="G9" s="13">
        <v>-4.9751243781094526E-3</v>
      </c>
      <c r="H9" s="8"/>
      <c r="I9" s="1" t="s">
        <v>88</v>
      </c>
    </row>
    <row r="10" spans="1:9" x14ac:dyDescent="0.35">
      <c r="A10" s="1" t="s">
        <v>52</v>
      </c>
      <c r="B10" s="1" t="s">
        <v>50</v>
      </c>
      <c r="C10" s="1">
        <v>572</v>
      </c>
      <c r="D10" s="7" t="s">
        <v>143</v>
      </c>
      <c r="E10" s="1">
        <v>562</v>
      </c>
      <c r="F10" s="1">
        <v>561</v>
      </c>
      <c r="G10" s="13">
        <f>(F10-F11)/F11</f>
        <v>-5.3191489361702126E-3</v>
      </c>
      <c r="H10" s="8">
        <f t="shared" si="0"/>
        <v>0.98076923076923073</v>
      </c>
      <c r="I10" s="1" t="s">
        <v>82</v>
      </c>
    </row>
    <row r="11" spans="1:9" x14ac:dyDescent="0.35">
      <c r="A11" s="1" t="s">
        <v>52</v>
      </c>
      <c r="B11" s="1" t="s">
        <v>50</v>
      </c>
      <c r="C11" s="1"/>
      <c r="D11" s="1">
        <v>556</v>
      </c>
      <c r="E11" s="1">
        <v>572</v>
      </c>
      <c r="F11" s="1">
        <v>564</v>
      </c>
      <c r="G11" s="13">
        <v>-5.3191489361702126E-3</v>
      </c>
      <c r="H11" s="8"/>
      <c r="I11" s="1" t="s">
        <v>88</v>
      </c>
    </row>
    <row r="12" spans="1:9" x14ac:dyDescent="0.35">
      <c r="A12" s="1" t="s">
        <v>53</v>
      </c>
      <c r="B12" s="1" t="s">
        <v>50</v>
      </c>
      <c r="C12" s="1">
        <v>1095</v>
      </c>
      <c r="D12" s="7" t="s">
        <v>139</v>
      </c>
      <c r="E12" s="1">
        <v>1137</v>
      </c>
      <c r="F12" s="1">
        <v>1124</v>
      </c>
      <c r="G12" s="13">
        <f>(F12-F13)/F13</f>
        <v>3.5467526485490557E-2</v>
      </c>
      <c r="H12" s="8">
        <f t="shared" si="0"/>
        <v>1.0264840182648403</v>
      </c>
      <c r="I12" s="1" t="s">
        <v>82</v>
      </c>
    </row>
    <row r="13" spans="1:9" x14ac:dyDescent="0.35">
      <c r="A13" s="1" t="s">
        <v>53</v>
      </c>
      <c r="B13" s="1" t="s">
        <v>50</v>
      </c>
      <c r="C13" s="1"/>
      <c r="D13" s="1">
        <v>1079</v>
      </c>
      <c r="E13" s="1">
        <v>1092</v>
      </c>
      <c r="F13" s="12">
        <v>1085.5</v>
      </c>
      <c r="G13" s="13">
        <v>3.5467526485490557E-2</v>
      </c>
      <c r="H13" s="8"/>
      <c r="I13" s="1" t="s">
        <v>88</v>
      </c>
    </row>
    <row r="14" spans="1:9" x14ac:dyDescent="0.35">
      <c r="A14" s="1" t="s">
        <v>54</v>
      </c>
      <c r="B14" s="1" t="s">
        <v>50</v>
      </c>
      <c r="C14" s="1">
        <v>690</v>
      </c>
      <c r="D14" s="7" t="s">
        <v>124</v>
      </c>
      <c r="E14" s="1">
        <v>724</v>
      </c>
      <c r="F14" s="20">
        <v>716.5</v>
      </c>
      <c r="G14" s="23">
        <f>(F14-F15)/F15</f>
        <v>5.5228276877761412E-2</v>
      </c>
      <c r="H14" s="8">
        <f t="shared" si="0"/>
        <v>1.0384057971014493</v>
      </c>
      <c r="I14" s="1" t="s">
        <v>82</v>
      </c>
    </row>
    <row r="15" spans="1:9" x14ac:dyDescent="0.35">
      <c r="A15" s="1" t="s">
        <v>54</v>
      </c>
      <c r="B15" s="1" t="s">
        <v>50</v>
      </c>
      <c r="C15" s="1"/>
      <c r="D15" s="1">
        <v>668</v>
      </c>
      <c r="E15" s="1">
        <v>690</v>
      </c>
      <c r="F15" s="1">
        <v>679</v>
      </c>
      <c r="G15" s="13">
        <v>5.5228276877761412E-2</v>
      </c>
      <c r="H15" s="8"/>
      <c r="I15" s="1" t="s">
        <v>88</v>
      </c>
    </row>
    <row r="16" spans="1:9" x14ac:dyDescent="0.35">
      <c r="A16" s="1" t="s">
        <v>56</v>
      </c>
      <c r="B16" s="1" t="s">
        <v>50</v>
      </c>
      <c r="C16" s="1">
        <v>855</v>
      </c>
      <c r="D16" s="7" t="s">
        <v>146</v>
      </c>
      <c r="E16" s="1">
        <v>907</v>
      </c>
      <c r="F16" s="1">
        <v>900</v>
      </c>
      <c r="G16" s="13">
        <f>(F16-F17)/F17</f>
        <v>6.4458900059136612E-2</v>
      </c>
      <c r="H16" s="8">
        <f t="shared" si="0"/>
        <v>1.0526315789473684</v>
      </c>
      <c r="I16" s="1" t="s">
        <v>82</v>
      </c>
    </row>
    <row r="17" spans="1:9" x14ac:dyDescent="0.35">
      <c r="A17" s="1" t="s">
        <v>56</v>
      </c>
      <c r="B17" s="1" t="s">
        <v>50</v>
      </c>
      <c r="C17" s="1"/>
      <c r="D17" s="1">
        <v>836</v>
      </c>
      <c r="E17" s="1">
        <v>855</v>
      </c>
      <c r="F17" s="12">
        <v>845.5</v>
      </c>
      <c r="G17" s="13">
        <v>6.4458900059136612E-2</v>
      </c>
      <c r="H17" s="8"/>
      <c r="I17" s="1" t="s">
        <v>88</v>
      </c>
    </row>
    <row r="18" spans="1:9" x14ac:dyDescent="0.35">
      <c r="A18" s="1" t="s">
        <v>59</v>
      </c>
      <c r="B18" s="1" t="s">
        <v>58</v>
      </c>
      <c r="C18" s="1">
        <v>661</v>
      </c>
      <c r="D18" s="7" t="s">
        <v>113</v>
      </c>
      <c r="E18" s="1">
        <v>698</v>
      </c>
      <c r="F18" s="1">
        <v>703</v>
      </c>
      <c r="G18" s="13">
        <f>(F18-F19)/F19</f>
        <v>-1.3333333333333334E-2</v>
      </c>
      <c r="H18" s="8">
        <f t="shared" si="0"/>
        <v>1.0635400907715582</v>
      </c>
      <c r="I18" s="1" t="s">
        <v>82</v>
      </c>
    </row>
    <row r="19" spans="1:9" x14ac:dyDescent="0.35">
      <c r="A19" s="1" t="s">
        <v>59</v>
      </c>
      <c r="B19" s="1" t="s">
        <v>58</v>
      </c>
      <c r="C19" s="1"/>
      <c r="D19" s="1">
        <v>712</v>
      </c>
      <c r="E19" s="1">
        <v>713</v>
      </c>
      <c r="F19" s="12">
        <v>712.5</v>
      </c>
      <c r="G19" s="13">
        <v>-1.3333333333333334E-2</v>
      </c>
      <c r="H19" s="8"/>
      <c r="I19" s="1" t="s">
        <v>88</v>
      </c>
    </row>
    <row r="20" spans="1:9" x14ac:dyDescent="0.35">
      <c r="A20" s="1" t="s">
        <v>61</v>
      </c>
      <c r="B20" s="1" t="s">
        <v>58</v>
      </c>
      <c r="C20" s="1">
        <v>747</v>
      </c>
      <c r="D20" s="7" t="s">
        <v>114</v>
      </c>
      <c r="E20" s="1">
        <v>734</v>
      </c>
      <c r="F20" s="1">
        <v>758</v>
      </c>
      <c r="G20" s="13">
        <f>(F20-F21)/F21</f>
        <v>-7.785888077858881E-2</v>
      </c>
      <c r="H20" s="8">
        <f t="shared" si="0"/>
        <v>1.0147255689424364</v>
      </c>
      <c r="I20" s="1" t="s">
        <v>82</v>
      </c>
    </row>
    <row r="21" spans="1:9" x14ac:dyDescent="0.35">
      <c r="A21" s="1" t="s">
        <v>61</v>
      </c>
      <c r="B21" s="1" t="s">
        <v>58</v>
      </c>
      <c r="C21" s="1"/>
      <c r="D21" s="1">
        <v>823</v>
      </c>
      <c r="E21" s="1">
        <v>821</v>
      </c>
      <c r="F21" s="1">
        <v>822</v>
      </c>
      <c r="G21" s="24">
        <v>-7.785888077858881E-2</v>
      </c>
      <c r="H21" s="8"/>
      <c r="I21" s="1" t="s">
        <v>88</v>
      </c>
    </row>
    <row r="22" spans="1:9" x14ac:dyDescent="0.35">
      <c r="A22" s="1" t="s">
        <v>63</v>
      </c>
      <c r="B22" s="1" t="s">
        <v>58</v>
      </c>
      <c r="C22" s="1">
        <v>892</v>
      </c>
      <c r="D22" s="7" t="s">
        <v>116</v>
      </c>
      <c r="E22" s="1">
        <v>896</v>
      </c>
      <c r="F22" s="1">
        <v>920</v>
      </c>
      <c r="G22" s="13">
        <f>(F22-F23)/F23</f>
        <v>-4.4155844155844157E-2</v>
      </c>
      <c r="H22" s="8">
        <f t="shared" si="0"/>
        <v>1.0313901345291481</v>
      </c>
      <c r="I22" s="1" t="s">
        <v>82</v>
      </c>
    </row>
    <row r="23" spans="1:9" x14ac:dyDescent="0.35">
      <c r="A23" s="1" t="s">
        <v>63</v>
      </c>
      <c r="B23" s="1" t="s">
        <v>58</v>
      </c>
      <c r="C23" s="1"/>
      <c r="D23" s="1">
        <v>968</v>
      </c>
      <c r="E23" s="1">
        <v>957</v>
      </c>
      <c r="F23" s="12">
        <v>962.5</v>
      </c>
      <c r="G23" s="13">
        <v>-4.4155844155844157E-2</v>
      </c>
      <c r="H23" s="8"/>
      <c r="I23" s="1" t="s">
        <v>88</v>
      </c>
    </row>
    <row r="24" spans="1:9" x14ac:dyDescent="0.35">
      <c r="A24" s="1" t="s">
        <v>69</v>
      </c>
      <c r="B24" s="1"/>
      <c r="C24" s="1">
        <v>600</v>
      </c>
      <c r="D24" s="7" t="s">
        <v>92</v>
      </c>
      <c r="E24" s="1">
        <v>615</v>
      </c>
      <c r="F24" s="12">
        <v>605.5</v>
      </c>
      <c r="G24" s="24">
        <f>(F24-F25)/F25</f>
        <v>-2.9647435897435896E-2</v>
      </c>
      <c r="H24" s="8">
        <f t="shared" si="0"/>
        <v>1.0091666666666668</v>
      </c>
      <c r="I24" s="1" t="s">
        <v>82</v>
      </c>
    </row>
    <row r="25" spans="1:9" x14ac:dyDescent="0.35">
      <c r="A25" s="1" t="s">
        <v>69</v>
      </c>
      <c r="B25" s="1"/>
      <c r="C25" s="1"/>
      <c r="D25" s="1">
        <v>625</v>
      </c>
      <c r="E25" s="1">
        <v>623</v>
      </c>
      <c r="F25" s="1">
        <v>624</v>
      </c>
      <c r="G25" s="24">
        <v>-2.9647435897435896E-2</v>
      </c>
      <c r="H25" s="8"/>
      <c r="I25" s="1" t="s">
        <v>88</v>
      </c>
    </row>
    <row r="26" spans="1:9" x14ac:dyDescent="0.35">
      <c r="A26" s="1" t="s">
        <v>77</v>
      </c>
      <c r="B26" s="1"/>
      <c r="C26" s="1">
        <v>2300</v>
      </c>
      <c r="D26" s="7" t="s">
        <v>140</v>
      </c>
      <c r="E26" s="1">
        <v>2290</v>
      </c>
      <c r="F26" s="1">
        <v>2287</v>
      </c>
      <c r="G26" s="24">
        <f>(F26-F27)/F27</f>
        <v>2.9716343989194056E-2</v>
      </c>
      <c r="H26" s="8">
        <f t="shared" si="0"/>
        <v>0.99434782608695649</v>
      </c>
      <c r="I26" s="1" t="s">
        <v>82</v>
      </c>
    </row>
    <row r="27" spans="1:9" x14ac:dyDescent="0.35">
      <c r="A27" s="1" t="s">
        <v>77</v>
      </c>
      <c r="B27" s="1"/>
      <c r="C27" s="1"/>
      <c r="D27" s="1">
        <v>2217</v>
      </c>
      <c r="E27" s="1">
        <v>2225</v>
      </c>
      <c r="F27" s="1">
        <v>2221</v>
      </c>
      <c r="G27" s="24">
        <v>2.9716343989194056E-2</v>
      </c>
      <c r="H27" s="8"/>
      <c r="I27" s="1" t="s">
        <v>88</v>
      </c>
    </row>
    <row r="28" spans="1:9" x14ac:dyDescent="0.35">
      <c r="A28" s="1" t="s">
        <v>22</v>
      </c>
      <c r="B28" s="1" t="s">
        <v>23</v>
      </c>
      <c r="C28" s="1">
        <v>850</v>
      </c>
      <c r="D28" s="7" t="s">
        <v>100</v>
      </c>
      <c r="E28" s="1">
        <v>834</v>
      </c>
      <c r="F28" s="1">
        <v>828</v>
      </c>
      <c r="G28" s="13">
        <v>-0.02</v>
      </c>
      <c r="H28" s="8">
        <f t="shared" si="0"/>
        <v>0.97411764705882353</v>
      </c>
      <c r="I28" s="1" t="s">
        <v>82</v>
      </c>
    </row>
    <row r="29" spans="1:9" x14ac:dyDescent="0.35">
      <c r="A29" s="1" t="s">
        <v>24</v>
      </c>
      <c r="B29" s="1" t="s">
        <v>23</v>
      </c>
      <c r="C29" s="1">
        <v>906</v>
      </c>
      <c r="D29" s="7" t="s">
        <v>98</v>
      </c>
      <c r="E29" s="1">
        <v>883</v>
      </c>
      <c r="F29" s="1">
        <v>889</v>
      </c>
      <c r="G29" s="8">
        <f>(F29-F30)/F30</f>
        <v>-1.6592920353982302E-2</v>
      </c>
      <c r="H29" s="8">
        <f t="shared" si="0"/>
        <v>0.98123620309050774</v>
      </c>
      <c r="I29" s="1" t="s">
        <v>82</v>
      </c>
    </row>
    <row r="30" spans="1:9" x14ac:dyDescent="0.35">
      <c r="A30" s="1" t="s">
        <v>24</v>
      </c>
      <c r="B30" s="1" t="s">
        <v>23</v>
      </c>
      <c r="C30" s="1"/>
      <c r="D30" s="1">
        <v>905</v>
      </c>
      <c r="E30" s="1">
        <v>903</v>
      </c>
      <c r="F30" s="1">
        <v>904</v>
      </c>
      <c r="G30" s="8">
        <v>-0.02</v>
      </c>
      <c r="H30" s="8"/>
      <c r="I30" s="1" t="s">
        <v>88</v>
      </c>
    </row>
    <row r="31" spans="1:9" x14ac:dyDescent="0.35">
      <c r="A31" s="1" t="s">
        <v>25</v>
      </c>
      <c r="B31" s="1" t="s">
        <v>23</v>
      </c>
      <c r="C31" s="1">
        <v>883</v>
      </c>
      <c r="D31" s="7" t="s">
        <v>99</v>
      </c>
      <c r="E31" s="1">
        <v>874</v>
      </c>
      <c r="F31" s="12">
        <v>872.5</v>
      </c>
      <c r="G31" s="13">
        <f>(F31-F32)/F32</f>
        <v>-7.9590676520750435E-3</v>
      </c>
      <c r="H31" s="8">
        <f t="shared" si="0"/>
        <v>0.98810872027180063</v>
      </c>
      <c r="I31" s="1" t="s">
        <v>82</v>
      </c>
    </row>
    <row r="32" spans="1:9" x14ac:dyDescent="0.35">
      <c r="A32" s="1" t="s">
        <v>25</v>
      </c>
      <c r="B32" s="1" t="s">
        <v>23</v>
      </c>
      <c r="C32" s="1"/>
      <c r="D32" s="1">
        <v>876</v>
      </c>
      <c r="E32" s="1">
        <v>883</v>
      </c>
      <c r="F32" s="12">
        <v>879.5</v>
      </c>
      <c r="G32" s="13">
        <v>-7.9590676520750435E-3</v>
      </c>
      <c r="H32" s="8"/>
      <c r="I32" s="1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8E5ED-F20D-417F-9341-72F12ED1A77F}">
  <dimension ref="A1:F66"/>
  <sheetViews>
    <sheetView workbookViewId="0">
      <pane ySplit="1" topLeftCell="A38" activePane="bottomLeft" state="frozen"/>
      <selection pane="bottomLeft" activeCell="B66" sqref="B66"/>
    </sheetView>
  </sheetViews>
  <sheetFormatPr defaultRowHeight="14.5" x14ac:dyDescent="0.35"/>
  <cols>
    <col min="1" max="1" width="37.6328125" bestFit="1" customWidth="1"/>
    <col min="2" max="2" width="10.08984375" bestFit="1" customWidth="1"/>
    <col min="3" max="3" width="14.81640625" style="31" bestFit="1" customWidth="1"/>
    <col min="4" max="4" width="15.81640625" bestFit="1" customWidth="1"/>
    <col min="5" max="5" width="11.26953125" bestFit="1" customWidth="1"/>
    <col min="6" max="6" width="16.7265625" bestFit="1" customWidth="1"/>
  </cols>
  <sheetData>
    <row r="1" spans="1:6" s="26" customFormat="1" x14ac:dyDescent="0.35">
      <c r="A1" s="26" t="s">
        <v>0</v>
      </c>
      <c r="B1" s="26" t="s">
        <v>81</v>
      </c>
      <c r="C1" s="29" t="s">
        <v>152</v>
      </c>
      <c r="D1" s="27" t="s">
        <v>153</v>
      </c>
      <c r="E1" s="28" t="s">
        <v>154</v>
      </c>
      <c r="F1" s="28" t="s">
        <v>155</v>
      </c>
    </row>
    <row r="2" spans="1:6" x14ac:dyDescent="0.35">
      <c r="A2" t="s">
        <v>156</v>
      </c>
      <c r="B2" t="s">
        <v>157</v>
      </c>
      <c r="C2" s="30">
        <v>1544757</v>
      </c>
      <c r="D2" s="25">
        <v>11853763</v>
      </c>
      <c r="E2" s="24">
        <f>C2/D2</f>
        <v>0.13031785771320045</v>
      </c>
      <c r="F2" s="24">
        <v>0.03</v>
      </c>
    </row>
    <row r="3" spans="1:6" x14ac:dyDescent="0.35">
      <c r="A3" t="s">
        <v>156</v>
      </c>
      <c r="B3" t="s">
        <v>85</v>
      </c>
      <c r="C3" s="30">
        <v>1023221</v>
      </c>
      <c r="D3" s="25">
        <v>11950106</v>
      </c>
      <c r="E3" s="24">
        <f t="shared" ref="E3:E66" si="0">C3/D3</f>
        <v>8.5624428770757349E-2</v>
      </c>
      <c r="F3" s="24">
        <v>0.03</v>
      </c>
    </row>
    <row r="4" spans="1:6" x14ac:dyDescent="0.35">
      <c r="A4" t="s">
        <v>156</v>
      </c>
      <c r="B4" t="s">
        <v>87</v>
      </c>
      <c r="C4" s="30">
        <v>798831</v>
      </c>
      <c r="D4" s="25">
        <v>11836915</v>
      </c>
      <c r="E4" s="24">
        <f t="shared" si="0"/>
        <v>6.7486418547400229E-2</v>
      </c>
      <c r="F4" s="24">
        <v>0.03</v>
      </c>
    </row>
    <row r="5" spans="1:6" x14ac:dyDescent="0.35">
      <c r="A5" t="s">
        <v>156</v>
      </c>
      <c r="B5" t="s">
        <v>88</v>
      </c>
      <c r="C5" s="30">
        <v>309660</v>
      </c>
      <c r="D5" s="25">
        <v>12888191</v>
      </c>
      <c r="E5" s="24">
        <f t="shared" si="0"/>
        <v>2.4026645787605102E-2</v>
      </c>
      <c r="F5" s="24">
        <v>0.03</v>
      </c>
    </row>
    <row r="6" spans="1:6" x14ac:dyDescent="0.35">
      <c r="A6" t="s">
        <v>68</v>
      </c>
      <c r="B6" t="s">
        <v>157</v>
      </c>
      <c r="C6" s="30">
        <v>1253229</v>
      </c>
      <c r="D6" s="25">
        <v>21459041</v>
      </c>
      <c r="E6" s="24">
        <f t="shared" si="0"/>
        <v>5.840097886946579E-2</v>
      </c>
      <c r="F6" s="24">
        <v>0.03</v>
      </c>
    </row>
    <row r="7" spans="1:6" x14ac:dyDescent="0.35">
      <c r="A7" t="s">
        <v>68</v>
      </c>
      <c r="B7" t="s">
        <v>85</v>
      </c>
      <c r="C7" s="30">
        <v>1249117</v>
      </c>
      <c r="D7" s="25">
        <v>23710178</v>
      </c>
      <c r="E7" s="24">
        <f t="shared" si="0"/>
        <v>5.2682733971883298E-2</v>
      </c>
      <c r="F7" s="24">
        <v>4.4999999999999998E-2</v>
      </c>
    </row>
    <row r="8" spans="1:6" x14ac:dyDescent="0.35">
      <c r="A8" t="s">
        <v>68</v>
      </c>
      <c r="B8" t="s">
        <v>87</v>
      </c>
      <c r="C8" s="30">
        <v>1473567</v>
      </c>
      <c r="D8" s="25">
        <v>26508610</v>
      </c>
      <c r="E8" s="24">
        <f t="shared" si="0"/>
        <v>5.5588240952656513E-2</v>
      </c>
      <c r="F8" s="24">
        <f>(E6+E7+E8)/3</f>
        <v>5.5557317931335198E-2</v>
      </c>
    </row>
    <row r="9" spans="1:6" x14ac:dyDescent="0.35">
      <c r="A9" t="s">
        <v>68</v>
      </c>
      <c r="B9" t="s">
        <v>88</v>
      </c>
      <c r="C9" s="30">
        <v>3215272</v>
      </c>
      <c r="D9" s="25">
        <v>27870228</v>
      </c>
      <c r="E9" s="24">
        <f t="shared" si="0"/>
        <v>0.1153658305199369</v>
      </c>
      <c r="F9" s="24">
        <f>(E7+E8+E9)/2</f>
        <v>0.11181840272223836</v>
      </c>
    </row>
    <row r="10" spans="1:6" x14ac:dyDescent="0.35">
      <c r="A10" t="s">
        <v>158</v>
      </c>
      <c r="B10" t="s">
        <v>157</v>
      </c>
      <c r="C10" s="30">
        <v>439756</v>
      </c>
      <c r="D10" s="25">
        <v>37936011</v>
      </c>
      <c r="E10" s="24">
        <f t="shared" si="0"/>
        <v>1.1592046406776928E-2</v>
      </c>
      <c r="F10" s="24">
        <v>0.05</v>
      </c>
    </row>
    <row r="11" spans="1:6" x14ac:dyDescent="0.35">
      <c r="A11" t="s">
        <v>158</v>
      </c>
      <c r="B11" t="s">
        <v>85</v>
      </c>
      <c r="C11" s="30">
        <v>4889968</v>
      </c>
      <c r="D11" s="25">
        <v>50016694</v>
      </c>
      <c r="E11" s="24">
        <f t="shared" si="0"/>
        <v>9.7766717648311588E-2</v>
      </c>
      <c r="F11" s="24">
        <v>0.05</v>
      </c>
    </row>
    <row r="12" spans="1:6" x14ac:dyDescent="0.35">
      <c r="A12" t="s">
        <v>158</v>
      </c>
      <c r="B12" t="s">
        <v>87</v>
      </c>
      <c r="C12" s="30">
        <v>2354296</v>
      </c>
      <c r="D12" s="25">
        <v>50962211</v>
      </c>
      <c r="E12" s="24">
        <f t="shared" si="0"/>
        <v>4.6196896755519495E-2</v>
      </c>
      <c r="F12" s="24">
        <v>0.05</v>
      </c>
    </row>
    <row r="13" spans="1:6" x14ac:dyDescent="0.35">
      <c r="A13" t="s">
        <v>158</v>
      </c>
      <c r="B13" t="s">
        <v>88</v>
      </c>
      <c r="C13" s="30">
        <v>251526</v>
      </c>
      <c r="D13" s="25">
        <v>51026316</v>
      </c>
      <c r="E13" s="24">
        <f t="shared" si="0"/>
        <v>4.9293388141130939E-3</v>
      </c>
      <c r="F13" s="24">
        <f>(E11+E12+E13)/3</f>
        <v>4.9630984405981397E-2</v>
      </c>
    </row>
    <row r="14" spans="1:6" x14ac:dyDescent="0.35">
      <c r="A14" t="s">
        <v>40</v>
      </c>
      <c r="B14" t="s">
        <v>157</v>
      </c>
      <c r="C14" s="30">
        <v>9268454</v>
      </c>
      <c r="D14" s="25">
        <v>60437770</v>
      </c>
      <c r="E14" s="24">
        <f t="shared" si="0"/>
        <v>0.15335532730608692</v>
      </c>
      <c r="F14" s="24">
        <v>0.03</v>
      </c>
    </row>
    <row r="15" spans="1:6" x14ac:dyDescent="0.35">
      <c r="A15" t="s">
        <v>40</v>
      </c>
      <c r="B15" t="s">
        <v>85</v>
      </c>
      <c r="C15" s="30">
        <v>15959477</v>
      </c>
      <c r="D15" s="25">
        <v>60659927</v>
      </c>
      <c r="E15" s="24">
        <f t="shared" si="0"/>
        <v>0.26309753059874275</v>
      </c>
      <c r="F15" s="24">
        <v>0.03</v>
      </c>
    </row>
    <row r="16" spans="1:6" x14ac:dyDescent="0.35">
      <c r="A16" t="s">
        <v>40</v>
      </c>
      <c r="B16" t="s">
        <v>87</v>
      </c>
      <c r="C16" s="30">
        <v>6053241</v>
      </c>
      <c r="D16" s="25">
        <v>57273885</v>
      </c>
      <c r="E16" s="24">
        <f t="shared" si="0"/>
        <v>0.10568937308862494</v>
      </c>
      <c r="F16" s="24">
        <f>(E16+E15+E14)/3</f>
        <v>0.17404741033115154</v>
      </c>
    </row>
    <row r="17" spans="1:6" x14ac:dyDescent="0.35">
      <c r="A17" t="s">
        <v>40</v>
      </c>
      <c r="B17" t="s">
        <v>88</v>
      </c>
      <c r="C17" s="30">
        <v>4466479</v>
      </c>
      <c r="D17" s="25">
        <v>58305264</v>
      </c>
      <c r="E17" s="24">
        <f t="shared" si="0"/>
        <v>7.6605072914171179E-2</v>
      </c>
      <c r="F17" s="24">
        <f>(E15+E16+E17)/3</f>
        <v>0.14846399220051296</v>
      </c>
    </row>
    <row r="18" spans="1:6" x14ac:dyDescent="0.35">
      <c r="A18" t="s">
        <v>159</v>
      </c>
      <c r="B18" t="s">
        <v>157</v>
      </c>
      <c r="C18" s="30">
        <v>874117</v>
      </c>
      <c r="D18" s="25">
        <v>14312513</v>
      </c>
      <c r="E18" s="24">
        <f t="shared" si="0"/>
        <v>6.1073621382911579E-2</v>
      </c>
      <c r="F18" s="24">
        <f>(E18+E17+E16)/3</f>
        <v>8.1122689128569236E-2</v>
      </c>
    </row>
    <row r="19" spans="1:6" x14ac:dyDescent="0.35">
      <c r="A19" t="s">
        <v>159</v>
      </c>
      <c r="B19" t="s">
        <v>85</v>
      </c>
      <c r="C19" s="30">
        <v>2141772</v>
      </c>
      <c r="D19" s="25">
        <v>19321965</v>
      </c>
      <c r="E19" s="24">
        <f t="shared" si="0"/>
        <v>0.11084648999208932</v>
      </c>
      <c r="F19" s="24">
        <f>(E19+E18+E17)/3</f>
        <v>8.284172809639069E-2</v>
      </c>
    </row>
    <row r="20" spans="1:6" x14ac:dyDescent="0.35">
      <c r="A20" t="s">
        <v>159</v>
      </c>
      <c r="B20" t="s">
        <v>87</v>
      </c>
      <c r="C20" s="30">
        <v>1998493</v>
      </c>
      <c r="D20" s="25">
        <v>22043771</v>
      </c>
      <c r="E20" s="24">
        <f t="shared" si="0"/>
        <v>9.0660214171159728E-2</v>
      </c>
      <c r="F20" s="24">
        <f>(E20+E19+E18)/3</f>
        <v>8.752677518205354E-2</v>
      </c>
    </row>
    <row r="21" spans="1:6" x14ac:dyDescent="0.35">
      <c r="A21" t="s">
        <v>159</v>
      </c>
      <c r="B21" t="s">
        <v>88</v>
      </c>
      <c r="C21" s="30">
        <v>1340004</v>
      </c>
      <c r="D21" s="25">
        <v>22899906</v>
      </c>
      <c r="E21" s="24">
        <f t="shared" si="0"/>
        <v>5.8515698710728335E-2</v>
      </c>
      <c r="F21" s="24">
        <f>(E21+E20+E19)/3</f>
        <v>8.6674134291325797E-2</v>
      </c>
    </row>
    <row r="22" spans="1:6" x14ac:dyDescent="0.35">
      <c r="A22" t="s">
        <v>160</v>
      </c>
      <c r="B22" t="s">
        <v>157</v>
      </c>
      <c r="C22" s="30">
        <v>-112910</v>
      </c>
      <c r="D22" s="25">
        <v>53651959</v>
      </c>
      <c r="E22" s="24">
        <f t="shared" si="0"/>
        <v>-2.1044897913233699E-3</v>
      </c>
      <c r="F22" s="24">
        <v>-4.2007705430447519E-3</v>
      </c>
    </row>
    <row r="23" spans="1:6" x14ac:dyDescent="0.35">
      <c r="A23" t="s">
        <v>160</v>
      </c>
      <c r="B23" t="s">
        <v>85</v>
      </c>
      <c r="C23" s="30">
        <v>-203500</v>
      </c>
      <c r="D23" s="25">
        <v>66670644</v>
      </c>
      <c r="E23" s="24">
        <f t="shared" si="0"/>
        <v>-3.0523178987141627E-3</v>
      </c>
      <c r="F23" s="24">
        <v>-4.2007705430447519E-3</v>
      </c>
    </row>
    <row r="24" spans="1:6" x14ac:dyDescent="0.35">
      <c r="A24" t="s">
        <v>160</v>
      </c>
      <c r="B24" t="s">
        <v>87</v>
      </c>
      <c r="C24" s="30">
        <v>-491102</v>
      </c>
      <c r="D24" s="25">
        <v>65959538</v>
      </c>
      <c r="E24" s="24">
        <f t="shared" si="0"/>
        <v>-7.4455039390967231E-3</v>
      </c>
      <c r="F24" s="24">
        <f>(E24+E23+E22)/3</f>
        <v>-4.2007705430447519E-3</v>
      </c>
    </row>
    <row r="25" spans="1:6" x14ac:dyDescent="0.35">
      <c r="A25" t="s">
        <v>160</v>
      </c>
      <c r="B25" t="s">
        <v>88</v>
      </c>
      <c r="C25" s="30">
        <v>-687771</v>
      </c>
      <c r="D25" s="25">
        <v>64752828</v>
      </c>
      <c r="E25" s="24">
        <f t="shared" si="0"/>
        <v>-1.062148204554093E-2</v>
      </c>
      <c r="F25" s="24">
        <f>(E25+E24+E23)/3</f>
        <v>-7.0397679611172714E-3</v>
      </c>
    </row>
    <row r="26" spans="1:6" x14ac:dyDescent="0.35">
      <c r="A26" t="s">
        <v>161</v>
      </c>
      <c r="B26" t="s">
        <v>157</v>
      </c>
      <c r="C26" s="30">
        <v>-209800</v>
      </c>
      <c r="D26" s="25">
        <v>5487520</v>
      </c>
      <c r="E26" s="24">
        <f t="shared" si="0"/>
        <v>-3.8232206898562555E-2</v>
      </c>
      <c r="F26" s="24">
        <v>-7.0397679611172714E-3</v>
      </c>
    </row>
    <row r="27" spans="1:6" x14ac:dyDescent="0.35">
      <c r="A27" t="s">
        <v>161</v>
      </c>
      <c r="B27" t="s">
        <v>85</v>
      </c>
      <c r="C27" s="30">
        <v>362193</v>
      </c>
      <c r="D27" s="25">
        <v>7289767</v>
      </c>
      <c r="E27" s="24">
        <f t="shared" si="0"/>
        <v>4.9685127110372665E-2</v>
      </c>
      <c r="F27" s="24">
        <v>1.9468397120754689E-2</v>
      </c>
    </row>
    <row r="28" spans="1:6" x14ac:dyDescent="0.35">
      <c r="A28" t="s">
        <v>161</v>
      </c>
      <c r="B28" t="s">
        <v>87</v>
      </c>
      <c r="C28" s="30">
        <v>385133</v>
      </c>
      <c r="D28" s="25">
        <v>8202649</v>
      </c>
      <c r="E28" s="24">
        <f t="shared" si="0"/>
        <v>4.6952271150453959E-2</v>
      </c>
      <c r="F28" s="24">
        <f>(E28+E27+E26)/3</f>
        <v>1.9468397120754689E-2</v>
      </c>
    </row>
    <row r="29" spans="1:6" x14ac:dyDescent="0.35">
      <c r="A29" t="s">
        <v>161</v>
      </c>
      <c r="B29" t="s">
        <v>88</v>
      </c>
      <c r="C29" s="30">
        <v>175599</v>
      </c>
      <c r="D29" s="25">
        <v>5921648</v>
      </c>
      <c r="E29" s="24">
        <f t="shared" si="0"/>
        <v>2.9653738283666978E-2</v>
      </c>
      <c r="F29" s="24">
        <f>(E29+E28+E27)/3</f>
        <v>4.2097045514831198E-2</v>
      </c>
    </row>
    <row r="30" spans="1:6" x14ac:dyDescent="0.35">
      <c r="A30" t="s">
        <v>58</v>
      </c>
      <c r="B30" t="s">
        <v>157</v>
      </c>
      <c r="C30" s="30">
        <v>2916733</v>
      </c>
      <c r="D30" s="25">
        <v>98874957</v>
      </c>
      <c r="E30" s="24">
        <f t="shared" si="0"/>
        <v>2.9499208783473858E-2</v>
      </c>
      <c r="F30" s="24">
        <v>0.03</v>
      </c>
    </row>
    <row r="31" spans="1:6" x14ac:dyDescent="0.35">
      <c r="A31" t="s">
        <v>58</v>
      </c>
      <c r="B31" t="s">
        <v>85</v>
      </c>
      <c r="C31" s="30">
        <v>8677379</v>
      </c>
      <c r="D31" s="25">
        <v>117387978</v>
      </c>
      <c r="E31" s="24">
        <f t="shared" si="0"/>
        <v>7.3920508282372829E-2</v>
      </c>
      <c r="F31" s="24">
        <v>0.03</v>
      </c>
    </row>
    <row r="32" spans="1:6" x14ac:dyDescent="0.35">
      <c r="A32" t="s">
        <v>58</v>
      </c>
      <c r="B32" t="s">
        <v>87</v>
      </c>
      <c r="C32" s="30">
        <v>561107</v>
      </c>
      <c r="D32" s="25">
        <v>117875225</v>
      </c>
      <c r="E32" s="24">
        <f t="shared" si="0"/>
        <v>4.7601775521531348E-3</v>
      </c>
      <c r="F32" s="24">
        <v>0.03</v>
      </c>
    </row>
    <row r="33" spans="1:6" x14ac:dyDescent="0.35">
      <c r="A33" t="s">
        <v>58</v>
      </c>
      <c r="B33" t="s">
        <v>88</v>
      </c>
      <c r="C33" s="30">
        <v>7512573</v>
      </c>
      <c r="D33" s="25">
        <v>120579649</v>
      </c>
      <c r="E33" s="24">
        <f t="shared" si="0"/>
        <v>6.2303822098536708E-2</v>
      </c>
      <c r="F33" s="24">
        <v>0.03</v>
      </c>
    </row>
    <row r="34" spans="1:6" x14ac:dyDescent="0.35">
      <c r="A34" t="s">
        <v>162</v>
      </c>
      <c r="B34" t="s">
        <v>157</v>
      </c>
      <c r="C34" s="30">
        <v>439640</v>
      </c>
      <c r="D34" s="25">
        <v>6648362</v>
      </c>
      <c r="E34" s="24">
        <f t="shared" si="0"/>
        <v>6.61275664592271E-2</v>
      </c>
      <c r="F34" s="24">
        <v>0.03</v>
      </c>
    </row>
    <row r="35" spans="1:6" x14ac:dyDescent="0.35">
      <c r="A35" t="s">
        <v>162</v>
      </c>
      <c r="B35" t="s">
        <v>85</v>
      </c>
      <c r="C35" s="30">
        <v>1458383</v>
      </c>
      <c r="D35" s="25">
        <v>8373423</v>
      </c>
      <c r="E35" s="24">
        <f t="shared" si="0"/>
        <v>0.17416807917144517</v>
      </c>
      <c r="F35" s="24">
        <v>0.1</v>
      </c>
    </row>
    <row r="36" spans="1:6" x14ac:dyDescent="0.35">
      <c r="A36" t="s">
        <v>162</v>
      </c>
      <c r="B36" t="s">
        <v>87</v>
      </c>
      <c r="C36" s="30">
        <v>743407</v>
      </c>
      <c r="D36" s="25">
        <v>7695695</v>
      </c>
      <c r="E36" s="24">
        <f t="shared" si="0"/>
        <v>9.6600372026178272E-2</v>
      </c>
      <c r="F36" s="24">
        <f>(E36+E35+E34)/3</f>
        <v>0.1122986725522835</v>
      </c>
    </row>
    <row r="37" spans="1:6" x14ac:dyDescent="0.35">
      <c r="A37" t="s">
        <v>162</v>
      </c>
      <c r="B37" t="s">
        <v>88</v>
      </c>
      <c r="C37" s="30">
        <v>741158</v>
      </c>
      <c r="D37" s="25">
        <v>7847975</v>
      </c>
      <c r="E37" s="24">
        <f t="shared" si="0"/>
        <v>9.4439393601534152E-2</v>
      </c>
      <c r="F37" s="24">
        <f>(E37+E36+E35)/3</f>
        <v>0.12173594826638585</v>
      </c>
    </row>
    <row r="38" spans="1:6" x14ac:dyDescent="0.35">
      <c r="A38" t="s">
        <v>163</v>
      </c>
      <c r="B38" t="s">
        <v>157</v>
      </c>
      <c r="C38" s="30">
        <v>4108448</v>
      </c>
      <c r="D38" s="25">
        <v>27081942</v>
      </c>
      <c r="E38" s="24">
        <f t="shared" si="0"/>
        <v>0.15170433494023436</v>
      </c>
      <c r="F38" s="24">
        <v>0.1</v>
      </c>
    </row>
    <row r="39" spans="1:6" x14ac:dyDescent="0.35">
      <c r="A39" t="s">
        <v>163</v>
      </c>
      <c r="B39" t="s">
        <v>85</v>
      </c>
      <c r="C39" s="30">
        <v>5527156</v>
      </c>
      <c r="D39" s="25">
        <v>28946972</v>
      </c>
      <c r="E39" s="24">
        <f t="shared" si="0"/>
        <v>0.19094073121015903</v>
      </c>
      <c r="F39" s="24">
        <f>(E39+E38+E40)/3</f>
        <v>0.16191045763699857</v>
      </c>
    </row>
    <row r="40" spans="1:6" x14ac:dyDescent="0.35">
      <c r="A40" t="s">
        <v>163</v>
      </c>
      <c r="B40" t="s">
        <v>87</v>
      </c>
      <c r="C40" s="30">
        <v>4314762</v>
      </c>
      <c r="D40" s="25">
        <v>30154961</v>
      </c>
      <c r="E40" s="24">
        <f t="shared" si="0"/>
        <v>0.14308630676060236</v>
      </c>
      <c r="F40" s="24">
        <f>(E40+E39+E38)/3</f>
        <v>0.1619104576369986</v>
      </c>
    </row>
    <row r="41" spans="1:6" x14ac:dyDescent="0.35">
      <c r="A41" t="s">
        <v>163</v>
      </c>
      <c r="B41" t="s">
        <v>88</v>
      </c>
      <c r="C41" s="30">
        <v>123289</v>
      </c>
      <c r="D41" s="25">
        <v>26666532</v>
      </c>
      <c r="E41" s="24">
        <f t="shared" si="0"/>
        <v>4.6233608479722826E-3</v>
      </c>
      <c r="F41" s="24">
        <f>(E41+E40+E39)/3</f>
        <v>0.11288346627291122</v>
      </c>
    </row>
    <row r="42" spans="1:6" x14ac:dyDescent="0.35">
      <c r="A42" t="s">
        <v>164</v>
      </c>
      <c r="B42" t="s">
        <v>157</v>
      </c>
      <c r="C42" s="30">
        <v>5382881</v>
      </c>
      <c r="D42" s="25">
        <v>29241464</v>
      </c>
      <c r="E42" s="24">
        <f t="shared" si="0"/>
        <v>0.18408384067227276</v>
      </c>
      <c r="F42" s="24">
        <v>-4.1226258585262389E-2</v>
      </c>
    </row>
    <row r="43" spans="1:6" x14ac:dyDescent="0.35">
      <c r="A43" t="s">
        <v>164</v>
      </c>
      <c r="B43" t="s">
        <v>85</v>
      </c>
      <c r="C43" s="30">
        <v>2707371</v>
      </c>
      <c r="D43" s="25">
        <v>29565522</v>
      </c>
      <c r="E43" s="24">
        <f t="shared" si="0"/>
        <v>9.1571899187168085E-2</v>
      </c>
      <c r="F43" s="24">
        <v>-4.1226258585262389E-2</v>
      </c>
    </row>
    <row r="44" spans="1:6" x14ac:dyDescent="0.35">
      <c r="A44" t="s">
        <v>164</v>
      </c>
      <c r="B44" t="s">
        <v>87</v>
      </c>
      <c r="C44" s="30">
        <v>-313037</v>
      </c>
      <c r="D44" s="25">
        <v>28203866</v>
      </c>
      <c r="E44" s="24">
        <f t="shared" si="0"/>
        <v>-1.1099081239430084E-2</v>
      </c>
      <c r="F44" s="24">
        <v>-4.1226258585262389E-2</v>
      </c>
    </row>
    <row r="45" spans="1:6" x14ac:dyDescent="0.35">
      <c r="A45" t="s">
        <v>164</v>
      </c>
      <c r="B45" t="s">
        <v>88</v>
      </c>
      <c r="C45" s="30">
        <v>-6002123</v>
      </c>
      <c r="D45" s="25">
        <v>29400324</v>
      </c>
      <c r="E45" s="24">
        <f t="shared" si="0"/>
        <v>-0.20415159370352517</v>
      </c>
      <c r="F45" s="24">
        <v>-4.1226258585262389E-2</v>
      </c>
    </row>
    <row r="46" spans="1:6" x14ac:dyDescent="0.35">
      <c r="A46" t="s">
        <v>165</v>
      </c>
      <c r="B46" t="s">
        <v>157</v>
      </c>
      <c r="C46" s="30">
        <v>432582</v>
      </c>
      <c r="D46" s="25">
        <v>3983835</v>
      </c>
      <c r="E46" s="24">
        <f t="shared" si="0"/>
        <v>0.10858431636852429</v>
      </c>
      <c r="F46" s="24">
        <v>0.03</v>
      </c>
    </row>
    <row r="47" spans="1:6" x14ac:dyDescent="0.35">
      <c r="A47" t="s">
        <v>165</v>
      </c>
      <c r="B47" t="s">
        <v>85</v>
      </c>
      <c r="C47" s="30">
        <v>-125022</v>
      </c>
      <c r="D47" s="25">
        <v>2972326</v>
      </c>
      <c r="E47" s="24">
        <f t="shared" si="0"/>
        <v>-4.2062008003159818E-2</v>
      </c>
      <c r="F47" s="24">
        <v>0.03</v>
      </c>
    </row>
    <row r="48" spans="1:6" x14ac:dyDescent="0.35">
      <c r="A48" t="s">
        <v>165</v>
      </c>
      <c r="B48" t="s">
        <v>87</v>
      </c>
      <c r="C48" s="30">
        <v>-594786</v>
      </c>
      <c r="D48" s="25">
        <v>2459930</v>
      </c>
      <c r="E48" s="24">
        <f t="shared" si="0"/>
        <v>-0.24178980702702924</v>
      </c>
      <c r="F48" s="24">
        <v>0.03</v>
      </c>
    </row>
    <row r="49" spans="1:6" x14ac:dyDescent="0.35">
      <c r="A49" t="s">
        <v>165</v>
      </c>
      <c r="B49" t="s">
        <v>88</v>
      </c>
      <c r="C49" s="30">
        <v>357005</v>
      </c>
      <c r="D49" s="25">
        <v>3205605</v>
      </c>
      <c r="E49" s="24">
        <f t="shared" si="0"/>
        <v>0.11136899274863871</v>
      </c>
      <c r="F49" s="24">
        <f>(E49+E47+G6)/3</f>
        <v>2.3102328248492964E-2</v>
      </c>
    </row>
    <row r="50" spans="1:6" x14ac:dyDescent="0.35">
      <c r="A50" t="s">
        <v>69</v>
      </c>
      <c r="B50" t="s">
        <v>166</v>
      </c>
      <c r="C50" s="30">
        <v>561763</v>
      </c>
      <c r="D50" s="25">
        <v>7537653</v>
      </c>
      <c r="E50" s="24">
        <f t="shared" si="0"/>
        <v>7.4527575095324761E-2</v>
      </c>
      <c r="F50" s="24">
        <v>-4.004928857052596E-3</v>
      </c>
    </row>
    <row r="51" spans="1:6" x14ac:dyDescent="0.35">
      <c r="A51" t="s">
        <v>69</v>
      </c>
      <c r="B51" t="s">
        <v>167</v>
      </c>
      <c r="C51" s="30">
        <v>-53855</v>
      </c>
      <c r="D51" s="25">
        <v>6616839</v>
      </c>
      <c r="E51" s="24">
        <f t="shared" si="0"/>
        <v>-8.1390827251501818E-3</v>
      </c>
      <c r="F51" s="24">
        <v>-4.004928857052596E-3</v>
      </c>
    </row>
    <row r="52" spans="1:6" x14ac:dyDescent="0.35">
      <c r="A52" t="s">
        <v>69</v>
      </c>
      <c r="B52" t="s">
        <v>157</v>
      </c>
      <c r="C52" s="30">
        <v>-547049</v>
      </c>
      <c r="D52" s="25">
        <v>6977374</v>
      </c>
      <c r="E52" s="24">
        <f t="shared" si="0"/>
        <v>-7.8403278941332366E-2</v>
      </c>
      <c r="F52" s="24">
        <v>-4.004928857052596E-3</v>
      </c>
    </row>
    <row r="53" spans="1:6" x14ac:dyDescent="0.35">
      <c r="A53" t="s">
        <v>69</v>
      </c>
      <c r="B53" t="s">
        <v>85</v>
      </c>
      <c r="C53" s="30">
        <v>864446</v>
      </c>
      <c r="D53" s="25">
        <v>9698545</v>
      </c>
      <c r="E53" s="24">
        <f t="shared" si="0"/>
        <v>8.9131514057005465E-2</v>
      </c>
      <c r="F53" s="24">
        <v>-4.004928857052596E-3</v>
      </c>
    </row>
    <row r="54" spans="1:6" x14ac:dyDescent="0.35">
      <c r="A54" t="s">
        <v>168</v>
      </c>
      <c r="B54" t="s">
        <v>88</v>
      </c>
      <c r="C54" s="30">
        <v>1573100</v>
      </c>
      <c r="D54" s="25">
        <v>18384258</v>
      </c>
      <c r="E54" s="24">
        <f t="shared" si="0"/>
        <v>8.5567772166817935E-2</v>
      </c>
      <c r="F54" s="24">
        <v>0.03</v>
      </c>
    </row>
    <row r="55" spans="1:6" x14ac:dyDescent="0.35">
      <c r="A55" t="s">
        <v>169</v>
      </c>
      <c r="B55" t="s">
        <v>157</v>
      </c>
      <c r="C55" s="30">
        <v>12077</v>
      </c>
      <c r="D55" s="25">
        <v>8350553</v>
      </c>
      <c r="E55" s="24">
        <f t="shared" si="0"/>
        <v>1.4462515237014843E-3</v>
      </c>
      <c r="F55" s="24">
        <v>4.3973179892936213E-4</v>
      </c>
    </row>
    <row r="56" spans="1:6" x14ac:dyDescent="0.35">
      <c r="A56" t="s">
        <v>169</v>
      </c>
      <c r="B56" t="s">
        <v>85</v>
      </c>
      <c r="C56" s="30">
        <v>-30124</v>
      </c>
      <c r="D56" s="25">
        <v>9347936</v>
      </c>
      <c r="E56" s="24">
        <f t="shared" si="0"/>
        <v>-3.2225295509083502E-3</v>
      </c>
      <c r="F56" s="24">
        <v>4.3973179892936213E-4</v>
      </c>
    </row>
    <row r="57" spans="1:6" x14ac:dyDescent="0.35">
      <c r="A57" t="s">
        <v>169</v>
      </c>
      <c r="B57" t="s">
        <v>87</v>
      </c>
      <c r="C57" s="30">
        <v>-10721</v>
      </c>
      <c r="D57" s="25">
        <v>10539460</v>
      </c>
      <c r="E57" s="24">
        <f t="shared" si="0"/>
        <v>-1.017224791402975E-3</v>
      </c>
      <c r="F57" s="24">
        <v>4.3973179892936213E-4</v>
      </c>
    </row>
    <row r="58" spans="1:6" x14ac:dyDescent="0.35">
      <c r="A58" t="s">
        <v>169</v>
      </c>
      <c r="B58" t="s">
        <v>88</v>
      </c>
      <c r="C58" s="30">
        <v>56904</v>
      </c>
      <c r="D58" s="25">
        <v>10236466</v>
      </c>
      <c r="E58" s="24">
        <f t="shared" si="0"/>
        <v>5.5589497390994115E-3</v>
      </c>
      <c r="F58" s="24">
        <v>4.3973179892936213E-4</v>
      </c>
    </row>
    <row r="59" spans="1:6" x14ac:dyDescent="0.35">
      <c r="A59" t="s">
        <v>170</v>
      </c>
      <c r="B59" t="s">
        <v>157</v>
      </c>
      <c r="C59" s="30">
        <v>4683</v>
      </c>
      <c r="D59" s="25">
        <v>22033407</v>
      </c>
      <c r="E59" s="24">
        <f t="shared" si="0"/>
        <v>2.1254089301758915E-4</v>
      </c>
      <c r="F59" s="24">
        <v>6.3798425293700223E-2</v>
      </c>
    </row>
    <row r="60" spans="1:6" x14ac:dyDescent="0.35">
      <c r="A60" t="s">
        <v>170</v>
      </c>
      <c r="B60" t="s">
        <v>85</v>
      </c>
      <c r="C60" s="30">
        <v>-81160</v>
      </c>
      <c r="D60" s="25">
        <v>25577833</v>
      </c>
      <c r="E60" s="24">
        <f t="shared" si="0"/>
        <v>-3.1730600477374296E-3</v>
      </c>
      <c r="F60" s="24">
        <v>6.3798425293700223E-2</v>
      </c>
    </row>
    <row r="61" spans="1:6" x14ac:dyDescent="0.35">
      <c r="A61" t="s">
        <v>170</v>
      </c>
      <c r="B61" t="s">
        <v>87</v>
      </c>
      <c r="C61" s="30">
        <v>4040075</v>
      </c>
      <c r="D61" s="25">
        <v>30069601</v>
      </c>
      <c r="E61" s="24">
        <f t="shared" si="0"/>
        <v>0.13435745289736303</v>
      </c>
      <c r="F61" s="24">
        <f>(E61+E60+E59)/3</f>
        <v>4.3798977914214395E-2</v>
      </c>
    </row>
    <row r="62" spans="1:6" x14ac:dyDescent="0.35">
      <c r="A62" t="s">
        <v>170</v>
      </c>
      <c r="B62" t="s">
        <v>88</v>
      </c>
      <c r="C62" s="30">
        <v>1955575</v>
      </c>
      <c r="D62" s="25">
        <v>32478763</v>
      </c>
      <c r="E62" s="24">
        <f t="shared" si="0"/>
        <v>6.0210883031475058E-2</v>
      </c>
      <c r="F62" s="24">
        <f>(E61+E60+E62)/3</f>
        <v>6.3798425293700223E-2</v>
      </c>
    </row>
    <row r="63" spans="1:6" x14ac:dyDescent="0.35">
      <c r="A63" t="s">
        <v>171</v>
      </c>
      <c r="B63" t="s">
        <v>157</v>
      </c>
      <c r="C63" s="31">
        <v>1341286</v>
      </c>
      <c r="D63" s="25">
        <v>19932415</v>
      </c>
      <c r="E63" s="24">
        <f t="shared" si="0"/>
        <v>6.7291695461889595E-2</v>
      </c>
      <c r="F63" s="24">
        <f t="shared" ref="F63:F66" si="1">(E62+E61+E63)/3</f>
        <v>8.728667713024256E-2</v>
      </c>
    </row>
    <row r="64" spans="1:6" x14ac:dyDescent="0.35">
      <c r="A64" t="s">
        <v>171</v>
      </c>
      <c r="B64" t="s">
        <v>85</v>
      </c>
      <c r="C64" s="31">
        <v>5834176</v>
      </c>
      <c r="D64" s="25">
        <v>27939871</v>
      </c>
      <c r="E64" s="24">
        <f t="shared" si="0"/>
        <v>0.2088118445500339</v>
      </c>
      <c r="F64" s="24">
        <f t="shared" si="1"/>
        <v>0.11210480768113285</v>
      </c>
    </row>
    <row r="65" spans="1:6" x14ac:dyDescent="0.35">
      <c r="A65" t="s">
        <v>171</v>
      </c>
      <c r="B65" t="s">
        <v>87</v>
      </c>
      <c r="C65" s="31">
        <v>6504240</v>
      </c>
      <c r="D65" s="31">
        <v>29499760</v>
      </c>
      <c r="E65" s="24">
        <f t="shared" si="0"/>
        <v>0.22048450563665603</v>
      </c>
      <c r="F65" s="24">
        <f t="shared" si="1"/>
        <v>0.1655293485495265</v>
      </c>
    </row>
    <row r="66" spans="1:6" x14ac:dyDescent="0.35">
      <c r="A66" t="s">
        <v>171</v>
      </c>
      <c r="B66" t="s">
        <v>88</v>
      </c>
      <c r="C66" s="31">
        <v>2055141</v>
      </c>
      <c r="D66" s="31">
        <v>28675749</v>
      </c>
      <c r="E66" s="24">
        <f t="shared" si="0"/>
        <v>7.1668258778523966E-2</v>
      </c>
      <c r="F66" s="24">
        <f t="shared" si="1"/>
        <v>0.16698820298840464</v>
      </c>
    </row>
  </sheetData>
  <autoFilter ref="A1:F62" xr:uid="{DA38E5ED-F20D-417F-9341-72F12ED1A77F}"/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1E5EE91459504597D3A5B4C4633BA1" ma:contentTypeVersion="20" ma:contentTypeDescription="Create a new document." ma:contentTypeScope="" ma:versionID="a139923ee60d2779fb9d48459e9ab1b8">
  <xsd:schema xmlns:xsd="http://www.w3.org/2001/XMLSchema" xmlns:xs="http://www.w3.org/2001/XMLSchema" xmlns:p="http://schemas.microsoft.com/office/2006/metadata/properties" xmlns:ns2="1f392a03-6a23-4208-bbed-a367b1364abf" xmlns:ns3="936a3b54-5a45-43bd-9fb6-a7c6fbac1be8" targetNamespace="http://schemas.microsoft.com/office/2006/metadata/properties" ma:root="true" ma:fieldsID="1d01d1bbb0cc592df697708d4387b590" ns2:_="" ns3:_="">
    <xsd:import namespace="1f392a03-6a23-4208-bbed-a367b1364abf"/>
    <xsd:import namespace="936a3b54-5a45-43bd-9fb6-a7c6fbac1b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392a03-6a23-4208-bbed-a367b1364a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604-cd61-491b-913c-b0c1156834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6a3b54-5a45-43bd-9fb6-a7c6fbac1be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3aa03d7-858d-4749-8d9e-3d5d86535d91}" ma:internalName="TaxCatchAll" ma:showField="CatchAllData" ma:web="936a3b54-5a45-43bd-9fb6-a7c6fbac1b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6a3b54-5a45-43bd-9fb6-a7c6fbac1be8" xsi:nil="true"/>
    <lcf76f155ced4ddcb4097134ff3c332f xmlns="1f392a03-6a23-4208-bbed-a367b1364ab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D798F8-3F0D-48D0-827F-A60A8F0257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E886777-8350-496B-AC68-F6673AF905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392a03-6a23-4208-bbed-a367b1364abf"/>
    <ds:schemaRef ds:uri="936a3b54-5a45-43bd-9fb6-a7c6fbac1b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BF480AD-4A56-4082-AF06-FDF77BFDF89A}">
  <ds:schemaRefs>
    <ds:schemaRef ds:uri="http://schemas.microsoft.com/office/2006/metadata/properties"/>
    <ds:schemaRef ds:uri="http://schemas.microsoft.com/office/infopath/2007/PartnerControls"/>
    <ds:schemaRef ds:uri="936a3b54-5a45-43bd-9fb6-a7c6fbac1be8"/>
    <ds:schemaRef ds:uri="1f392a03-6a23-4208-bbed-a367b1364ab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FY26 Student enrollment</vt:lpstr>
      <vt:lpstr>New Enrollment metrics FY25-26</vt:lpstr>
      <vt:lpstr>Total Margin</vt:lpstr>
      <vt:lpstr>'FY26 Student enrollment'!Print_Area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Justin James</dc:creator>
  <cp:keywords/>
  <dc:description/>
  <cp:lastModifiedBy>Emmanuel Igbokwe</cp:lastModifiedBy>
  <cp:revision/>
  <dcterms:created xsi:type="dcterms:W3CDTF">2025-04-07T16:42:38Z</dcterms:created>
  <dcterms:modified xsi:type="dcterms:W3CDTF">2026-03-31T18:41:46Z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0x010100871E5EE91459504597D3A5B4C4633BA1</vt:lpwstr>
  </property>
  <property fmtid="{D5CDD505-2E9C-101B-9397-08002B2CF9AE}" pid="3" name="MediaServiceImageTags">
    <vt:lpwstr/>
  </property>
</Properties>
</file>